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t-c-files\shared-files\08-github\r73-ksw-dashboard\private\"/>
    </mc:Choice>
  </mc:AlternateContent>
  <xr:revisionPtr revIDLastSave="0" documentId="8_{897C6374-D435-4561-BAAD-BC1CD51CF8D1}" xr6:coauthVersionLast="47" xr6:coauthVersionMax="47" xr10:uidLastSave="{00000000-0000-0000-0000-000000000000}"/>
  <bookViews>
    <workbookView xWindow="-110" yWindow="-110" windowWidth="25820" windowHeight="15500" activeTab="4" xr2:uid="{5FD8930F-E63E-4369-901F-1A07DC260145}"/>
  </bookViews>
  <sheets>
    <sheet name="BIO" sheetId="16" r:id="rId1"/>
    <sheet name="Rollup" sheetId="21" r:id="rId2"/>
    <sheet name="Testing Chart" sheetId="19" r:id="rId3"/>
    <sheet name="cheatSheat" sheetId="27" r:id="rId4"/>
    <sheet name="Master" sheetId="23" r:id="rId5"/>
  </sheets>
  <definedNames>
    <definedName name="Target">BIO!$B$9:$E$24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8" i="23" l="1"/>
  <c r="B379" i="23"/>
  <c r="B380" i="23"/>
  <c r="B381" i="23"/>
  <c r="B382" i="23"/>
  <c r="B383" i="23"/>
  <c r="B384" i="23"/>
  <c r="B385" i="23"/>
  <c r="B386" i="23"/>
  <c r="B387" i="23"/>
  <c r="B388" i="23"/>
  <c r="B389" i="23"/>
  <c r="B390" i="23"/>
  <c r="B391" i="23"/>
  <c r="B392" i="23"/>
  <c r="B393" i="23"/>
  <c r="B394" i="23"/>
  <c r="B395" i="23"/>
  <c r="B396" i="23"/>
  <c r="B397" i="23"/>
  <c r="B398" i="23"/>
  <c r="B399" i="23"/>
  <c r="B400" i="23"/>
  <c r="B401" i="23"/>
  <c r="B402" i="23"/>
  <c r="B403" i="23"/>
  <c r="B404" i="23"/>
  <c r="B405" i="23"/>
  <c r="B406" i="23"/>
  <c r="B407" i="23"/>
  <c r="B408" i="23"/>
  <c r="B409" i="23"/>
  <c r="B410" i="23"/>
  <c r="B411" i="23"/>
  <c r="B412" i="23"/>
  <c r="B413" i="23"/>
  <c r="B414" i="23"/>
  <c r="B415" i="23"/>
  <c r="B416" i="23"/>
  <c r="B417" i="23"/>
  <c r="B418" i="23"/>
  <c r="B419" i="23"/>
  <c r="B420" i="23"/>
  <c r="B421" i="23"/>
  <c r="B422" i="23"/>
  <c r="B423" i="23"/>
  <c r="B424" i="23"/>
  <c r="B425" i="23"/>
  <c r="B3" i="23"/>
  <c r="B4" i="23"/>
  <c r="B5" i="23"/>
  <c r="B6" i="23"/>
  <c r="B7" i="23"/>
  <c r="B8" i="23"/>
  <c r="B9" i="23"/>
  <c r="B19" i="23"/>
  <c r="B20" i="23"/>
  <c r="B21" i="23"/>
  <c r="B22" i="23"/>
  <c r="B23" i="23"/>
  <c r="B24" i="23"/>
  <c r="B25" i="23"/>
  <c r="B10" i="23"/>
  <c r="B11" i="23"/>
  <c r="B12" i="23"/>
  <c r="B13" i="23"/>
  <c r="B14" i="23"/>
  <c r="B15" i="23"/>
  <c r="B16" i="23"/>
  <c r="B17" i="23"/>
  <c r="B18" i="23"/>
  <c r="B34" i="23"/>
  <c r="B35" i="23"/>
  <c r="B36" i="23"/>
  <c r="B37" i="23"/>
  <c r="B26" i="23"/>
  <c r="B27" i="23"/>
  <c r="B28" i="23"/>
  <c r="B29" i="23"/>
  <c r="B30" i="23"/>
  <c r="B31" i="23"/>
  <c r="B32" i="23"/>
  <c r="B33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B59" i="23"/>
  <c r="B60" i="23"/>
  <c r="B61" i="23"/>
  <c r="B62" i="23"/>
  <c r="B63" i="23"/>
  <c r="B64" i="23"/>
  <c r="B65" i="23"/>
  <c r="B66" i="23"/>
  <c r="B67" i="23"/>
  <c r="B68" i="23"/>
  <c r="B69" i="23"/>
  <c r="B70" i="23"/>
  <c r="B71" i="23"/>
  <c r="B72" i="23"/>
  <c r="B73" i="23"/>
  <c r="B74" i="23"/>
  <c r="B75" i="23"/>
  <c r="B76" i="23"/>
  <c r="B77" i="23"/>
  <c r="B78" i="23"/>
  <c r="B79" i="23"/>
  <c r="B80" i="23"/>
  <c r="B81" i="23"/>
  <c r="B82" i="23"/>
  <c r="B83" i="23"/>
  <c r="B84" i="23"/>
  <c r="B85" i="23"/>
  <c r="B86" i="23"/>
  <c r="B87" i="23"/>
  <c r="B88" i="23"/>
  <c r="B89" i="23"/>
  <c r="B90" i="23"/>
  <c r="B91" i="23"/>
  <c r="B92" i="23"/>
  <c r="B93" i="23"/>
  <c r="B94" i="23"/>
  <c r="B95" i="23"/>
  <c r="B96" i="23"/>
  <c r="B97" i="23"/>
  <c r="B98" i="23"/>
  <c r="B99" i="23"/>
  <c r="B100" i="23"/>
  <c r="B101" i="23"/>
  <c r="B102" i="23"/>
  <c r="B103" i="23"/>
  <c r="B104" i="23"/>
  <c r="B105" i="23"/>
  <c r="B106" i="23"/>
  <c r="B107" i="23"/>
  <c r="B108" i="23"/>
  <c r="B109" i="23"/>
  <c r="B110" i="23"/>
  <c r="B111" i="23"/>
  <c r="B112" i="23"/>
  <c r="B113" i="23"/>
  <c r="B114" i="23"/>
  <c r="B115" i="23"/>
  <c r="B116" i="23"/>
  <c r="B117" i="23"/>
  <c r="B118" i="23"/>
  <c r="B119" i="23"/>
  <c r="B120" i="23"/>
  <c r="B121" i="23"/>
  <c r="B122" i="23"/>
  <c r="B123" i="23"/>
  <c r="B124" i="23"/>
  <c r="B125" i="23"/>
  <c r="B126" i="23"/>
  <c r="B127" i="23"/>
  <c r="B128" i="23"/>
  <c r="B129" i="23"/>
  <c r="B130" i="23"/>
  <c r="B131" i="23"/>
  <c r="B132" i="23"/>
  <c r="B133" i="23"/>
  <c r="B134" i="23"/>
  <c r="B135" i="23"/>
  <c r="B136" i="23"/>
  <c r="B137" i="23"/>
  <c r="B138" i="23"/>
  <c r="B139" i="23"/>
  <c r="B140" i="23"/>
  <c r="B141" i="23"/>
  <c r="B142" i="23"/>
  <c r="B143" i="23"/>
  <c r="B144" i="23"/>
  <c r="B145" i="23"/>
  <c r="B146" i="23"/>
  <c r="B147" i="23"/>
  <c r="B148" i="23"/>
  <c r="B149" i="23"/>
  <c r="B150" i="23"/>
  <c r="B151" i="23"/>
  <c r="B152" i="23"/>
  <c r="B153" i="23"/>
  <c r="B154" i="23"/>
  <c r="B155" i="23"/>
  <c r="B156" i="23"/>
  <c r="B157" i="23"/>
  <c r="B158" i="23"/>
  <c r="B159" i="23"/>
  <c r="B160" i="23"/>
  <c r="B161" i="23"/>
  <c r="B162" i="23"/>
  <c r="B163" i="23"/>
  <c r="B164" i="23"/>
  <c r="B165" i="23"/>
  <c r="B166" i="23"/>
  <c r="B167" i="23"/>
  <c r="B168" i="23"/>
  <c r="B169" i="23"/>
  <c r="B170" i="23"/>
  <c r="B171" i="23"/>
  <c r="B172" i="23"/>
  <c r="B173" i="23"/>
  <c r="B174" i="23"/>
  <c r="B175" i="23"/>
  <c r="B176" i="23"/>
  <c r="B177" i="23"/>
  <c r="B178" i="23"/>
  <c r="B179" i="23"/>
  <c r="B180" i="23"/>
  <c r="B181" i="23"/>
  <c r="B182" i="23"/>
  <c r="B183" i="23"/>
  <c r="B184" i="23"/>
  <c r="B185" i="23"/>
  <c r="B186" i="23"/>
  <c r="B187" i="23"/>
  <c r="B188" i="23"/>
  <c r="B189" i="23"/>
  <c r="B190" i="23"/>
  <c r="B191" i="23"/>
  <c r="B192" i="23"/>
  <c r="B193" i="23"/>
  <c r="B194" i="23"/>
  <c r="B195" i="23"/>
  <c r="B196" i="23"/>
  <c r="B197" i="23"/>
  <c r="B198" i="23"/>
  <c r="B199" i="23"/>
  <c r="B200" i="23"/>
  <c r="B201" i="23"/>
  <c r="B202" i="23"/>
  <c r="B203" i="23"/>
  <c r="B204" i="23"/>
  <c r="B205" i="23"/>
  <c r="B206" i="23"/>
  <c r="B207" i="23"/>
  <c r="B208" i="23"/>
  <c r="B209" i="23"/>
  <c r="B210" i="23"/>
  <c r="B211" i="23"/>
  <c r="B212" i="23"/>
  <c r="B213" i="23"/>
  <c r="B214" i="23"/>
  <c r="B215" i="23"/>
  <c r="B216" i="23"/>
  <c r="B217" i="23"/>
  <c r="B218" i="23"/>
  <c r="B219" i="23"/>
  <c r="B220" i="23"/>
  <c r="B221" i="23"/>
  <c r="B222" i="23"/>
  <c r="B223" i="23"/>
  <c r="B224" i="23"/>
  <c r="B225" i="23"/>
  <c r="B226" i="23"/>
  <c r="B227" i="23"/>
  <c r="B228" i="23"/>
  <c r="B229" i="23"/>
  <c r="B230" i="23"/>
  <c r="B231" i="23"/>
  <c r="B232" i="23"/>
  <c r="B233" i="23"/>
  <c r="B234" i="23"/>
  <c r="B235" i="23"/>
  <c r="B236" i="23"/>
  <c r="B237" i="23"/>
  <c r="B238" i="23"/>
  <c r="B239" i="23"/>
  <c r="B240" i="23"/>
  <c r="B241" i="23"/>
  <c r="B242" i="23"/>
  <c r="B243" i="23"/>
  <c r="B244" i="23"/>
  <c r="B245" i="23"/>
  <c r="B246" i="23"/>
  <c r="B247" i="23"/>
  <c r="B248" i="23"/>
  <c r="B249" i="23"/>
  <c r="B250" i="23"/>
  <c r="B251" i="23"/>
  <c r="B252" i="23"/>
  <c r="B253" i="23"/>
  <c r="B254" i="23"/>
  <c r="B255" i="23"/>
  <c r="B256" i="23"/>
  <c r="B257" i="23"/>
  <c r="B258" i="23"/>
  <c r="B259" i="23"/>
  <c r="B260" i="23"/>
  <c r="B261" i="23"/>
  <c r="B262" i="23"/>
  <c r="B263" i="23"/>
  <c r="B264" i="23"/>
  <c r="B265" i="23"/>
  <c r="B266" i="23"/>
  <c r="B267" i="23"/>
  <c r="B268" i="23"/>
  <c r="B269" i="23"/>
  <c r="B270" i="23"/>
  <c r="B271" i="23"/>
  <c r="B272" i="23"/>
  <c r="B273" i="23"/>
  <c r="B274" i="23"/>
  <c r="B275" i="23"/>
  <c r="B276" i="23"/>
  <c r="B277" i="23"/>
  <c r="B278" i="23"/>
  <c r="B279" i="23"/>
  <c r="B280" i="23"/>
  <c r="B281" i="23"/>
  <c r="B282" i="23"/>
  <c r="B283" i="23"/>
  <c r="B284" i="23"/>
  <c r="B285" i="23"/>
  <c r="B286" i="23"/>
  <c r="B287" i="23"/>
  <c r="B288" i="23"/>
  <c r="B289" i="23"/>
  <c r="B290" i="23"/>
  <c r="B291" i="23"/>
  <c r="B292" i="23"/>
  <c r="B293" i="23"/>
  <c r="B294" i="23"/>
  <c r="B295" i="23"/>
  <c r="B296" i="23"/>
  <c r="B297" i="23"/>
  <c r="B298" i="23"/>
  <c r="B299" i="23"/>
  <c r="B300" i="23"/>
  <c r="B301" i="23"/>
  <c r="B302" i="23"/>
  <c r="B303" i="23"/>
  <c r="B304" i="23"/>
  <c r="B305" i="23"/>
  <c r="B306" i="23"/>
  <c r="B307" i="23"/>
  <c r="B308" i="23"/>
  <c r="B309" i="23"/>
  <c r="B310" i="23"/>
  <c r="B311" i="23"/>
  <c r="B312" i="23"/>
  <c r="B313" i="23"/>
  <c r="B314" i="23"/>
  <c r="B315" i="23"/>
  <c r="B316" i="23"/>
  <c r="B317" i="23"/>
  <c r="B318" i="23"/>
  <c r="B319" i="23"/>
  <c r="B320" i="23"/>
  <c r="B321" i="23"/>
  <c r="B322" i="23"/>
  <c r="B323" i="23"/>
  <c r="B324" i="23"/>
  <c r="B325" i="23"/>
  <c r="B326" i="23"/>
  <c r="B327" i="23"/>
  <c r="B328" i="23"/>
  <c r="B329" i="23"/>
  <c r="B330" i="23"/>
  <c r="B331" i="23"/>
  <c r="B332" i="23"/>
  <c r="B333" i="23"/>
  <c r="B334" i="23"/>
  <c r="B335" i="23"/>
  <c r="B336" i="23"/>
  <c r="B337" i="23"/>
  <c r="B338" i="23"/>
  <c r="B339" i="23"/>
  <c r="B340" i="23"/>
  <c r="B341" i="23"/>
  <c r="B342" i="23"/>
  <c r="B343" i="23"/>
  <c r="B344" i="23"/>
  <c r="B345" i="23"/>
  <c r="B346" i="23"/>
  <c r="B347" i="23"/>
  <c r="B348" i="23"/>
  <c r="B349" i="23"/>
  <c r="B350" i="23"/>
  <c r="B351" i="23"/>
  <c r="B352" i="23"/>
  <c r="B353" i="23"/>
  <c r="B354" i="23"/>
  <c r="B355" i="23"/>
  <c r="B356" i="23"/>
  <c r="B357" i="23"/>
  <c r="B358" i="23"/>
  <c r="B359" i="23"/>
  <c r="B360" i="23"/>
  <c r="B361" i="23"/>
  <c r="B362" i="23"/>
  <c r="B363" i="23"/>
  <c r="B364" i="23"/>
  <c r="B365" i="23"/>
  <c r="B366" i="23"/>
  <c r="B367" i="23"/>
  <c r="B368" i="23"/>
  <c r="B369" i="23"/>
  <c r="B370" i="23"/>
  <c r="B371" i="23"/>
  <c r="B372" i="23"/>
  <c r="B373" i="23"/>
  <c r="B374" i="23"/>
  <c r="B375" i="23"/>
  <c r="B376" i="23"/>
  <c r="B377" i="23"/>
  <c r="B2" i="23"/>
  <c r="B13" i="21"/>
  <c r="D13" i="21" s="1"/>
  <c r="B12" i="21"/>
  <c r="D12" i="21" s="1"/>
  <c r="B11" i="21"/>
  <c r="D11" i="21" s="1"/>
  <c r="B10" i="21"/>
  <c r="D10" i="21" s="1"/>
  <c r="B9" i="21"/>
  <c r="D9" i="21" s="1"/>
  <c r="B32" i="21"/>
  <c r="D32" i="21" s="1"/>
  <c r="B30" i="21"/>
  <c r="D30" i="21" s="1"/>
  <c r="B29" i="21"/>
  <c r="D29" i="21" s="1"/>
  <c r="B28" i="21"/>
  <c r="D28" i="21" s="1"/>
  <c r="B27" i="21"/>
  <c r="D27" i="21" s="1"/>
  <c r="B26" i="21"/>
  <c r="D26" i="21" s="1"/>
  <c r="B49" i="21"/>
  <c r="D49" i="21" s="1"/>
  <c r="B57" i="21"/>
  <c r="D57" i="21" s="1"/>
  <c r="B55" i="21"/>
  <c r="D55" i="21" s="1"/>
  <c r="B53" i="21"/>
  <c r="D53" i="21" s="1"/>
  <c r="B40" i="21"/>
  <c r="D40" i="21" s="1"/>
  <c r="B39" i="21"/>
  <c r="D39" i="21" s="1"/>
  <c r="B38" i="21"/>
  <c r="D38" i="21" s="1"/>
  <c r="B37" i="21"/>
  <c r="D37" i="21" s="1"/>
  <c r="B36" i="21"/>
  <c r="D36" i="21" s="1"/>
  <c r="B35" i="21"/>
  <c r="D35" i="21" s="1"/>
  <c r="B34" i="21"/>
  <c r="D34" i="21" s="1"/>
  <c r="B33" i="21"/>
  <c r="D33" i="21" s="1"/>
  <c r="B31" i="21"/>
  <c r="D31" i="21" s="1"/>
  <c r="B51" i="21"/>
  <c r="D51" i="21" s="1"/>
  <c r="B47" i="21"/>
  <c r="D47" i="21" s="1"/>
  <c r="B21" i="21"/>
  <c r="D21" i="21" s="1"/>
  <c r="B20" i="21"/>
  <c r="D20" i="21" s="1"/>
  <c r="B19" i="21"/>
  <c r="D19" i="21" s="1"/>
  <c r="B18" i="21"/>
  <c r="D18" i="21" s="1"/>
  <c r="B17" i="21"/>
  <c r="D17" i="21" s="1"/>
  <c r="D2" i="21"/>
  <c r="D3" i="21" s="1"/>
  <c r="B2" i="21"/>
  <c r="D1" i="21"/>
  <c r="B1" i="21"/>
  <c r="E9" i="16" l="1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C15" i="16" l="1"/>
  <c r="E24" i="16"/>
  <c r="C23" i="16"/>
  <c r="C14" i="16"/>
  <c r="C22" i="16"/>
  <c r="C16" i="16"/>
  <c r="C17" i="16"/>
  <c r="C10" i="16"/>
  <c r="C18" i="16"/>
  <c r="C11" i="16"/>
  <c r="C19" i="16"/>
  <c r="C12" i="16"/>
  <c r="C20" i="16"/>
  <c r="C13" i="16"/>
  <c r="C21" i="16"/>
  <c r="C24" i="16" l="1"/>
</calcChain>
</file>

<file path=xl/sharedStrings.xml><?xml version="1.0" encoding="utf-8"?>
<sst xmlns="http://schemas.openxmlformats.org/spreadsheetml/2006/main" count="2382" uniqueCount="759">
  <si>
    <t>Technique</t>
  </si>
  <si>
    <t>Form</t>
  </si>
  <si>
    <t>Ki Bohn Soo 1-5</t>
  </si>
  <si>
    <t>Yellow Stripe</t>
  </si>
  <si>
    <t>Sohnh Ppae Ki 1-5</t>
  </si>
  <si>
    <t>Testing Date</t>
  </si>
  <si>
    <t>Status</t>
  </si>
  <si>
    <t>Notes:</t>
  </si>
  <si>
    <t>Rank</t>
  </si>
  <si>
    <t>Ki Cho Hyung 1-3</t>
  </si>
  <si>
    <t>Untrained</t>
  </si>
  <si>
    <t>Days Until Eval</t>
  </si>
  <si>
    <t>Days Until Testing</t>
  </si>
  <si>
    <t>Yellow Belt</t>
  </si>
  <si>
    <t>Blue Belt</t>
  </si>
  <si>
    <t>Blue Stripe</t>
  </si>
  <si>
    <t>Red Stripe</t>
  </si>
  <si>
    <t>Red Belt</t>
  </si>
  <si>
    <t>Brown Stripe</t>
  </si>
  <si>
    <t>Brown Belt</t>
  </si>
  <si>
    <t>Black Belt</t>
  </si>
  <si>
    <t>Ki Cho Hyung 1</t>
  </si>
  <si>
    <t>Ki Cho Hyung 2</t>
  </si>
  <si>
    <t>Ki Cho Hyung 3</t>
  </si>
  <si>
    <t>Trained</t>
  </si>
  <si>
    <t>Proficient</t>
  </si>
  <si>
    <t>In Progress</t>
  </si>
  <si>
    <t>Thumb Up: Rotate up and out.</t>
  </si>
  <si>
    <t>Thumb Left; Rotate Left Horizontally and out</t>
  </si>
  <si>
    <t>Thumb Down; Rotate forward, down, and out</t>
  </si>
  <si>
    <t>Thumb Right, Palm Up Shoot Out 45 degree</t>
  </si>
  <si>
    <t>Notes: Always Attack Opponents Thumb; Fingers Open WIDE</t>
  </si>
  <si>
    <t>Notes: Point Fingers Where You Want Opponent to Go.</t>
  </si>
  <si>
    <t>Start Date</t>
  </si>
  <si>
    <t>Target Rank</t>
  </si>
  <si>
    <t>1 Black Stripe</t>
  </si>
  <si>
    <t>Test Date</t>
  </si>
  <si>
    <t>Student Name</t>
  </si>
  <si>
    <t>Date Joined</t>
  </si>
  <si>
    <t>Tuition Program</t>
  </si>
  <si>
    <t>John Barkle</t>
  </si>
  <si>
    <t>Current Rank</t>
  </si>
  <si>
    <t>White Belt</t>
  </si>
  <si>
    <t>Period</t>
  </si>
  <si>
    <t>4 Black Stripes</t>
  </si>
  <si>
    <t>3 Black Stripes</t>
  </si>
  <si>
    <t>2 Black Stripes</t>
  </si>
  <si>
    <t>5 Black Stripes</t>
  </si>
  <si>
    <t>6 Black Stripes</t>
  </si>
  <si>
    <t>Interval</t>
  </si>
  <si>
    <t>Todays Date</t>
  </si>
  <si>
    <t>Student ID</t>
  </si>
  <si>
    <t>Date of Last Promotion</t>
  </si>
  <si>
    <t>Huin ddi</t>
  </si>
  <si>
    <t>Norang ddi</t>
  </si>
  <si>
    <t>Cheong ddi</t>
  </si>
  <si>
    <t>Hong ddi</t>
  </si>
  <si>
    <t>Ja ddi</t>
  </si>
  <si>
    <t>Dahnbo Nim</t>
  </si>
  <si>
    <t>Belt</t>
  </si>
  <si>
    <t>Jyokyo Nim</t>
  </si>
  <si>
    <t>Yellow Belt Requirments</t>
  </si>
  <si>
    <t>Yellow Stripe Requirments</t>
  </si>
  <si>
    <t>Instruction Date</t>
  </si>
  <si>
    <t>Ki Cho Hyung 4-6</t>
  </si>
  <si>
    <t>Ki Cho Hyung 4</t>
  </si>
  <si>
    <t>Ki Cho Hyung 5</t>
  </si>
  <si>
    <t>Ki Cho Hyung 6</t>
  </si>
  <si>
    <t>Evaluation Date</t>
  </si>
  <si>
    <t>Elbow Drop</t>
  </si>
  <si>
    <t>Fingers</t>
  </si>
  <si>
    <t>Elbow Chop</t>
  </si>
  <si>
    <t>Over-Belt Burn</t>
  </si>
  <si>
    <t>Over-Belt Chop</t>
  </si>
  <si>
    <t>Choon BooTakedown</t>
  </si>
  <si>
    <t>Yuhl-Gyuhl Takedown</t>
  </si>
  <si>
    <t>Backstreet</t>
  </si>
  <si>
    <t>Hyperfoot</t>
  </si>
  <si>
    <t>Indian Burm</t>
  </si>
  <si>
    <t>Yuhl Gyuhl</t>
  </si>
  <si>
    <t>Soo Sahm</t>
  </si>
  <si>
    <t>Chuhn Boo</t>
  </si>
  <si>
    <t>Geuk Chuhn</t>
  </si>
  <si>
    <t>Hohn Soo</t>
  </si>
  <si>
    <t>Gaek Joo In</t>
  </si>
  <si>
    <t>Hahn Soo</t>
  </si>
  <si>
    <t>Dae Po</t>
  </si>
  <si>
    <t>UmKyo</t>
  </si>
  <si>
    <t>Goo Mi</t>
  </si>
  <si>
    <t>Yuhm Chuhn</t>
  </si>
  <si>
    <t>Jahng Moon</t>
  </si>
  <si>
    <t>Ah Moon</t>
  </si>
  <si>
    <t>Shin Juhng</t>
  </si>
  <si>
    <t>Yoo Geun</t>
  </si>
  <si>
    <t>Sam Um Kyo</t>
  </si>
  <si>
    <t>Dohk Bi</t>
  </si>
  <si>
    <t>Wee Joong</t>
  </si>
  <si>
    <t>Hyul Hae</t>
  </si>
  <si>
    <t>Ki Hae</t>
  </si>
  <si>
    <t>You Geun</t>
  </si>
  <si>
    <t>Gaek Joo</t>
  </si>
  <si>
    <t>Dae Choo</t>
  </si>
  <si>
    <t>Yahng Neung Chung</t>
  </si>
  <si>
    <t>Throw Right</t>
  </si>
  <si>
    <t>Throw Left</t>
  </si>
  <si>
    <t>Elbow Throw</t>
  </si>
  <si>
    <t>Cross Block Up</t>
  </si>
  <si>
    <t>Cross Block down</t>
  </si>
  <si>
    <t>Circle Block Chop</t>
  </si>
  <si>
    <t>Cover down Left</t>
  </si>
  <si>
    <t>Knife Attack</t>
  </si>
  <si>
    <t>Temple Thro</t>
  </si>
  <si>
    <t>Chin Throw</t>
  </si>
  <si>
    <t xml:space="preserve">Throat </t>
  </si>
  <si>
    <t xml:space="preserve">Kneel </t>
  </si>
  <si>
    <t>Hook Knee</t>
  </si>
  <si>
    <t>Low High</t>
  </si>
  <si>
    <t>High Low</t>
  </si>
  <si>
    <t>Spock Shock</t>
  </si>
  <si>
    <t>Hand Shake-Elbow Drop</t>
  </si>
  <si>
    <t>Left Over</t>
  </si>
  <si>
    <t>Sudo-Elbow Chop</t>
  </si>
  <si>
    <t>Shoulder Break</t>
  </si>
  <si>
    <t>Y Grab up</t>
  </si>
  <si>
    <t>UP</t>
  </si>
  <si>
    <t>Left</t>
  </si>
  <si>
    <t>Down</t>
  </si>
  <si>
    <t>Out</t>
  </si>
  <si>
    <t>Circle</t>
  </si>
  <si>
    <t>Rotate Clockwise, Knife Edge Left</t>
  </si>
  <si>
    <t>Etiquette</t>
  </si>
  <si>
    <t>Bowing</t>
  </si>
  <si>
    <t>Stances (Jah Se)</t>
  </si>
  <si>
    <t>Attention</t>
  </si>
  <si>
    <t>Kong Kyuk Jah Se</t>
  </si>
  <si>
    <t>Cha Ryuht</t>
  </si>
  <si>
    <t>Left Fighting Stance</t>
  </si>
  <si>
    <t>Bahng Uh Jah Se</t>
  </si>
  <si>
    <t>Right Fighting Stance</t>
  </si>
  <si>
    <t>Ki Mah Jah Se</t>
  </si>
  <si>
    <t>Horse Stance</t>
  </si>
  <si>
    <t>Juhn Guhl Jah se</t>
  </si>
  <si>
    <t>Front Stance</t>
  </si>
  <si>
    <t>Uniforms</t>
  </si>
  <si>
    <t>Notes</t>
  </si>
  <si>
    <t>Theory</t>
  </si>
  <si>
    <t>Water</t>
  </si>
  <si>
    <t>Sah Doh Mu Sool</t>
  </si>
  <si>
    <t>Bool Kyo MU Sool</t>
  </si>
  <si>
    <t>Koong Joong Mu Sool</t>
  </si>
  <si>
    <t>Hwarang Do Sesok O-Gye</t>
  </si>
  <si>
    <t>Code Of Ethics</t>
  </si>
  <si>
    <t>Moral Character</t>
  </si>
  <si>
    <t>Do Jahng Etiquette</t>
  </si>
  <si>
    <t>1-Forward/Back Stretch</t>
  </si>
  <si>
    <t>2-Look Up/Down</t>
  </si>
  <si>
    <t>3-Look Side/Side</t>
  </si>
  <si>
    <t>4-Rotate Head</t>
  </si>
  <si>
    <t>5-Rotate Arms</t>
  </si>
  <si>
    <t>6-Rotate Hips</t>
  </si>
  <si>
    <t>7-Knee Bends</t>
  </si>
  <si>
    <t>8-Rotate Knees</t>
  </si>
  <si>
    <t>9-Stretch Over knees</t>
  </si>
  <si>
    <t>10-Long Stretch</t>
  </si>
  <si>
    <t>11-Grab Toes</t>
  </si>
  <si>
    <t>14-Bent Leg Stretch</t>
  </si>
  <si>
    <t>15-Bent Leg Long Stretch</t>
  </si>
  <si>
    <t>12-Ankle Circles</t>
  </si>
  <si>
    <t>16-Straddle Stretch</t>
  </si>
  <si>
    <t>17-Rowing Motion</t>
  </si>
  <si>
    <t>18-Forward Straddle Stretch</t>
  </si>
  <si>
    <t>19-Butterfly Bounce</t>
  </si>
  <si>
    <t>20-Butterfly Knees</t>
  </si>
  <si>
    <t>21-Finger Stretch</t>
  </si>
  <si>
    <t>22-Wrist Twist</t>
  </si>
  <si>
    <t>23-Roll Back</t>
  </si>
  <si>
    <t>24-Shoulder Stand</t>
  </si>
  <si>
    <t>25-Bicycle Kick</t>
  </si>
  <si>
    <t>26-Back Arch</t>
  </si>
  <si>
    <t>27-Hip Raise</t>
  </si>
  <si>
    <t>28-Hip Raise with Support</t>
  </si>
  <si>
    <t>29-Full Bridge</t>
  </si>
  <si>
    <t>30-Raise Head/Shoulders</t>
  </si>
  <si>
    <t>31-Raise Leg/Feet</t>
  </si>
  <si>
    <t>32-Raise head and Feet</t>
  </si>
  <si>
    <t>33-Grab Ankles</t>
  </si>
  <si>
    <t>34-Back Stretch</t>
  </si>
  <si>
    <t>Basic Techniques</t>
  </si>
  <si>
    <t>Forms</t>
  </si>
  <si>
    <t xml:space="preserve">Mohm Puhl Ki </t>
  </si>
  <si>
    <t>Soo Ki</t>
  </si>
  <si>
    <t>Straight Punch</t>
  </si>
  <si>
    <t>Palm Strike</t>
  </si>
  <si>
    <t>Vertical Spear Hand Strike</t>
  </si>
  <si>
    <t>Ridge Hand Strike</t>
  </si>
  <si>
    <t>Circle Knife Hand</t>
  </si>
  <si>
    <t>Elbow Strike</t>
  </si>
  <si>
    <t>V-Double Palm Strike</t>
  </si>
  <si>
    <t>Tiger's Mouth</t>
  </si>
  <si>
    <t>Tiger's Claw</t>
  </si>
  <si>
    <t>Little Finger hammer Fist</t>
  </si>
  <si>
    <t>One Finger Fist</t>
  </si>
  <si>
    <t>Thumb Strike</t>
  </si>
  <si>
    <t>One Finger Poke</t>
  </si>
  <si>
    <t>Two Finger Poke</t>
  </si>
  <si>
    <t>Five Finger Strike</t>
  </si>
  <si>
    <t>One two Spin Chop</t>
  </si>
  <si>
    <t>Praying Mantis Block</t>
  </si>
  <si>
    <t>Cross Block (X-Cover)</t>
  </si>
  <si>
    <t>Four Winds Block</t>
  </si>
  <si>
    <t>Straight Leg Kick</t>
  </si>
  <si>
    <t>Front Kick</t>
  </si>
  <si>
    <t>Knee Kick</t>
  </si>
  <si>
    <t>Inside Kick</t>
  </si>
  <si>
    <t>Outside Kick</t>
  </si>
  <si>
    <t>Round Kick</t>
  </si>
  <si>
    <t>Side Kick</t>
  </si>
  <si>
    <t>Back Kick</t>
  </si>
  <si>
    <t>Hook Kick</t>
  </si>
  <si>
    <t>Axe Kick</t>
  </si>
  <si>
    <t>High Spin Kick</t>
  </si>
  <si>
    <t>Low Spin Kick</t>
  </si>
  <si>
    <t>Nak Bub</t>
  </si>
  <si>
    <t>Ahp Nak Bub</t>
  </si>
  <si>
    <t>Dee Nak Bub</t>
  </si>
  <si>
    <t>Ahp Yuhp Nak Bub</t>
  </si>
  <si>
    <t>Hweh Juhn Nak Bub</t>
  </si>
  <si>
    <t>Doo Sohn Poong Cha</t>
  </si>
  <si>
    <t>Hahn Sohn Poong Cha</t>
  </si>
  <si>
    <t>Pahl Kum Chi Poong Cha</t>
  </si>
  <si>
    <t>Goh Yahng Ee Nak Bub</t>
  </si>
  <si>
    <t>Cat Roll</t>
  </si>
  <si>
    <t>Cart Wheel</t>
  </si>
  <si>
    <t>Johk Sool</t>
  </si>
  <si>
    <t>Yuhp Nak Bub</t>
  </si>
  <si>
    <t>Elbow Cart-wheel</t>
  </si>
  <si>
    <t>Gon Joong Poong Cha</t>
  </si>
  <si>
    <t>Aerial (No Hand)</t>
  </si>
  <si>
    <t>Doo Sohn Aho Poong Cha</t>
  </si>
  <si>
    <t>Hand Spring</t>
  </si>
  <si>
    <t>Gong Joong Hweh Juhn Nak Bub</t>
  </si>
  <si>
    <t>High Roll Fall</t>
  </si>
  <si>
    <t>Front Fall</t>
  </si>
  <si>
    <t>Back Fall</t>
  </si>
  <si>
    <t>Side Fall</t>
  </si>
  <si>
    <t>Front Side Fall</t>
  </si>
  <si>
    <t>Rolling Fall</t>
  </si>
  <si>
    <t>One Hand Cart-wheel</t>
  </si>
  <si>
    <t>Gong Joong Dee Nak Bub</t>
  </si>
  <si>
    <t>High Back Fall</t>
  </si>
  <si>
    <t>High Front Fall</t>
  </si>
  <si>
    <t>Gong Joong Ahp Nak Bub</t>
  </si>
  <si>
    <t>Ahp Gong Joong Hweh Juhn Nak Bub</t>
  </si>
  <si>
    <t>Front Flip</t>
  </si>
  <si>
    <t>Nickname</t>
  </si>
  <si>
    <t>13-Knee Extensions</t>
  </si>
  <si>
    <t>Kuk Sool Won Creed</t>
  </si>
  <si>
    <t>Student Oath</t>
  </si>
  <si>
    <t>Directions, Relationships, and Movements</t>
  </si>
  <si>
    <t>Names and Titles</t>
  </si>
  <si>
    <t>Commands and Terminology</t>
  </si>
  <si>
    <t>Parts of the Body</t>
  </si>
  <si>
    <t>Handling Weapons</t>
  </si>
  <si>
    <t>What is Ki</t>
  </si>
  <si>
    <t>Modern History of Kuk Sool Won</t>
  </si>
  <si>
    <t>Language</t>
  </si>
  <si>
    <t>Foundation</t>
  </si>
  <si>
    <t>Five Principles of a Warrior</t>
  </si>
  <si>
    <t>Proper way to wear the uniform</t>
  </si>
  <si>
    <t>Counting in Korean</t>
  </si>
  <si>
    <t>Blocking</t>
  </si>
  <si>
    <t>Teaching Others</t>
  </si>
  <si>
    <t>Stances</t>
  </si>
  <si>
    <t>Locating the Target</t>
  </si>
  <si>
    <t>History of Kuk Sool Weapons</t>
  </si>
  <si>
    <t>Breathing</t>
  </si>
  <si>
    <t>Basic Pressure Points</t>
  </si>
  <si>
    <t>You-Won-Hwa</t>
  </si>
  <si>
    <t>Names of Foots Attacks</t>
  </si>
  <si>
    <t>Inverted Stomp Kick</t>
  </si>
  <si>
    <t>Jump Side Kick</t>
  </si>
  <si>
    <t>Jump Front Kick</t>
  </si>
  <si>
    <t>Parallel-Double Palm Strike</t>
  </si>
  <si>
    <t>One Two Punch</t>
  </si>
  <si>
    <t>Jump Round Kick</t>
  </si>
  <si>
    <t>Jump Spin Side Kick</t>
  </si>
  <si>
    <t>Jump Spin Kick</t>
  </si>
  <si>
    <t>R-Jump Round Kick</t>
  </si>
  <si>
    <t>Inverted Round Kick</t>
  </si>
  <si>
    <t>Inverted Side kick</t>
  </si>
  <si>
    <t>Inside Block</t>
  </si>
  <si>
    <t>Double Knife Chop</t>
  </si>
  <si>
    <t>Spear Hand Chop</t>
  </si>
  <si>
    <t>Up Cover</t>
  </si>
  <si>
    <t>High Low Cover</t>
  </si>
  <si>
    <t>Double High Knife Block</t>
  </si>
  <si>
    <t>Triple Punch</t>
  </si>
  <si>
    <t>High Low Middle Block</t>
  </si>
  <si>
    <t>Dragon Stance</t>
  </si>
  <si>
    <t>Cat Stance</t>
  </si>
  <si>
    <t>Crane  Stance</t>
  </si>
  <si>
    <t>Circle Back Fist</t>
  </si>
  <si>
    <t>Dahn Juhn Ki</t>
  </si>
  <si>
    <t>Sparring</t>
  </si>
  <si>
    <t>Type</t>
  </si>
  <si>
    <t>Breating Excercises</t>
  </si>
  <si>
    <t>Retrain</t>
  </si>
  <si>
    <t>Customs/Courtesies</t>
  </si>
  <si>
    <t>Falling Principles; Ways to move the boding to redirect kinetic energy during falling and acrobatics; protects the student from injury form falls</t>
  </si>
  <si>
    <t>Description</t>
  </si>
  <si>
    <t>nameOfType</t>
  </si>
  <si>
    <t>Wrist Escapes; Always Attack Opponents Thumb; Fingers Open WIDE</t>
  </si>
  <si>
    <t>descriptionOfType</t>
  </si>
  <si>
    <t>Foot Techniques; Basic attacks using the feet</t>
  </si>
  <si>
    <t>Sohnh Ppae Ki</t>
  </si>
  <si>
    <t>Falling Principles</t>
  </si>
  <si>
    <t>Hand Techniques; Basic attacks of the weaponless hand</t>
  </si>
  <si>
    <t>Ki Bohn Soo</t>
  </si>
  <si>
    <t>Fundamental Techniques</t>
  </si>
  <si>
    <t>Ki Cho Hyung</t>
  </si>
  <si>
    <t>Fundamental Form</t>
  </si>
  <si>
    <t>Jah Se</t>
  </si>
  <si>
    <t>Sohnh Ppae Ki 1</t>
  </si>
  <si>
    <t>Sohnh Ppae Ki 2</t>
  </si>
  <si>
    <t>Sohnh Ppae Ki 3</t>
  </si>
  <si>
    <t>Sohnh Ppae Ki 4</t>
  </si>
  <si>
    <t>Sohnh Ppae Ki 5</t>
  </si>
  <si>
    <t>Ki Bohn Soo 1</t>
  </si>
  <si>
    <t>Ki Bohn Soo 2</t>
  </si>
  <si>
    <t>Ki Bohn Soo 3</t>
  </si>
  <si>
    <t>Ki Bohn Soo 4</t>
  </si>
  <si>
    <t>Ki Bohn Soo 5</t>
  </si>
  <si>
    <t>Ki Bohn Soo 6</t>
  </si>
  <si>
    <t>Ki Bohn Soo 7</t>
  </si>
  <si>
    <t>Ki Bohn Soo 8</t>
  </si>
  <si>
    <t>Ki Bohn Soo 9</t>
  </si>
  <si>
    <t>Ki Bohn Soo 10</t>
  </si>
  <si>
    <t>Ki Bohn Soo 11</t>
  </si>
  <si>
    <t>Ki Bohn Soo 12</t>
  </si>
  <si>
    <t>Ki Bohn Soo 13</t>
  </si>
  <si>
    <t>Ki Bohn Soo 14</t>
  </si>
  <si>
    <t>Ki Bohn Soo 15</t>
  </si>
  <si>
    <t>Fundamental Technique</t>
  </si>
  <si>
    <t>Fundamental Form Part 1</t>
  </si>
  <si>
    <t>Fundamental Form Part 2</t>
  </si>
  <si>
    <t>Fundamental Form Part 3</t>
  </si>
  <si>
    <t>Fundamental Form Part 4</t>
  </si>
  <si>
    <t>Fundamental Form Part 5</t>
  </si>
  <si>
    <t>Fundamental Form Part 6</t>
  </si>
  <si>
    <t>Basic Stances used in Forms and During Techniques; During Practice Stances should be as low as possible</t>
  </si>
  <si>
    <t>Level</t>
  </si>
  <si>
    <t>Color</t>
  </si>
  <si>
    <t>White belt</t>
  </si>
  <si>
    <t>2 Stripe</t>
  </si>
  <si>
    <t>3 Stripe</t>
  </si>
  <si>
    <t>4 Stripe</t>
  </si>
  <si>
    <t>5 Stripe</t>
  </si>
  <si>
    <t>6 Stripe</t>
  </si>
  <si>
    <t>7 Stripe</t>
  </si>
  <si>
    <t>8 Stripe</t>
  </si>
  <si>
    <t>Name</t>
  </si>
  <si>
    <t>Dahn Bo Nym</t>
  </si>
  <si>
    <t>Ki Cho Jah Ki 1</t>
  </si>
  <si>
    <t>Ki Cho Jah Ki 2</t>
  </si>
  <si>
    <t>Ki Cho Jah Ki 3</t>
  </si>
  <si>
    <t>Ki Cho Jah Ki 4</t>
  </si>
  <si>
    <t>Ki Cho Jah Ki 5</t>
  </si>
  <si>
    <t>Ki Cho Jah Ki 6</t>
  </si>
  <si>
    <t>Purpose/Execution of forms</t>
  </si>
  <si>
    <t>Types/occasions involving bowing</t>
  </si>
  <si>
    <t>Hand Techniques</t>
  </si>
  <si>
    <t>Soo Ki 1</t>
  </si>
  <si>
    <t>Soo Ki 2</t>
  </si>
  <si>
    <t>Soo Ki 3</t>
  </si>
  <si>
    <t>Soo Ki 4</t>
  </si>
  <si>
    <t>Soo Ki 5</t>
  </si>
  <si>
    <t>Soo Ki 6</t>
  </si>
  <si>
    <t>Soo Ki 7</t>
  </si>
  <si>
    <t>Soo Ki 8</t>
  </si>
  <si>
    <t>Soo Ki 9</t>
  </si>
  <si>
    <t>Soo Ki 10</t>
  </si>
  <si>
    <t>Soo Ki 11</t>
  </si>
  <si>
    <t>Soo Ki 12</t>
  </si>
  <si>
    <t>Soo Ki 13</t>
  </si>
  <si>
    <t>Soo Ki 14</t>
  </si>
  <si>
    <t>Soo Ki 15</t>
  </si>
  <si>
    <t>Soo Ki 16</t>
  </si>
  <si>
    <t>Soo Ki 17</t>
  </si>
  <si>
    <t>Soo Ki 18</t>
  </si>
  <si>
    <t>Soo Ki 19</t>
  </si>
  <si>
    <t>Soo Ki 20</t>
  </si>
  <si>
    <t>Soo Ki 21</t>
  </si>
  <si>
    <t>Soo Ki 22</t>
  </si>
  <si>
    <t>Soo Ki 23</t>
  </si>
  <si>
    <t>Soo Ki 24</t>
  </si>
  <si>
    <t>Soo Ki 25</t>
  </si>
  <si>
    <t>Soo Ki 26</t>
  </si>
  <si>
    <t>Soo Ki 27</t>
  </si>
  <si>
    <t>Soo Ki 28</t>
  </si>
  <si>
    <t>Soo Ki 29</t>
  </si>
  <si>
    <t>Johk Sool 1</t>
  </si>
  <si>
    <t>Johk Sool 2</t>
  </si>
  <si>
    <t>Johk Sool 3</t>
  </si>
  <si>
    <t>Johk Sool 4</t>
  </si>
  <si>
    <t>Johk Sool 5</t>
  </si>
  <si>
    <t>Johk Sool 6</t>
  </si>
  <si>
    <t>Johk Sool 7</t>
  </si>
  <si>
    <t>Johk Sool 8</t>
  </si>
  <si>
    <t>Warm-up</t>
  </si>
  <si>
    <t>Escape/Fall</t>
  </si>
  <si>
    <t>What is a "Technique"?</t>
  </si>
  <si>
    <t>Sohn Mohk Soo 1</t>
  </si>
  <si>
    <t>Sohn Mohk Soo 2</t>
  </si>
  <si>
    <t>Sohn Mohk Soo 3</t>
  </si>
  <si>
    <t>Sohn Mohk Soo 4</t>
  </si>
  <si>
    <t>Sohn Mohk Soo 5</t>
  </si>
  <si>
    <t>Sohn Mohk Soo 6</t>
  </si>
  <si>
    <t>Winging out: Technique : Horse Stance</t>
  </si>
  <si>
    <t>Winging out: Crossed Arms</t>
  </si>
  <si>
    <t>Winging out: iron Cross</t>
  </si>
  <si>
    <t>Winging out: Squat</t>
  </si>
  <si>
    <t>Winging out: Arm thrust</t>
  </si>
  <si>
    <t>Winging out: Side</t>
  </si>
  <si>
    <t>Weapons (Technique)</t>
  </si>
  <si>
    <t>Juhl Bong 1</t>
  </si>
  <si>
    <t>Juhl Bong 2</t>
  </si>
  <si>
    <t>Elementary Level Form Part 1</t>
  </si>
  <si>
    <t>Elementary Level Form Part 2</t>
  </si>
  <si>
    <t>Dahn Juhn Ki Bub 7</t>
  </si>
  <si>
    <t>Dahn Juhn Ki Bub 8</t>
  </si>
  <si>
    <t>Juhl Bong 3</t>
  </si>
  <si>
    <t>Juhl Bong 4</t>
  </si>
  <si>
    <t>Jointed Staff-Spinnig 1</t>
  </si>
  <si>
    <t>Jointed Staff-Spinnig 2</t>
  </si>
  <si>
    <t>Jointed Staff-Spinnig 3</t>
  </si>
  <si>
    <t>Jointed Staff-Spinnig 4</t>
  </si>
  <si>
    <t>Dahn Juhn Ki Bub 1</t>
  </si>
  <si>
    <t>Dahn Juhn Ki Bub 2</t>
  </si>
  <si>
    <t>Dahn Juhn Ki Bub 3</t>
  </si>
  <si>
    <t>Dahn Juhn Ki Bub 4</t>
  </si>
  <si>
    <t>Dahn Juhn Ki Bub 5</t>
  </si>
  <si>
    <t>Dahn Juhn Ki Bub 6</t>
  </si>
  <si>
    <t>Soo Ki 30</t>
  </si>
  <si>
    <t>Soo Ki 31</t>
  </si>
  <si>
    <t>Soo Ki 32</t>
  </si>
  <si>
    <t>Johk Sool 9</t>
  </si>
  <si>
    <t>Cho Geup Hyung Part 1</t>
  </si>
  <si>
    <t>Cho Geup Hyung Part 2</t>
  </si>
  <si>
    <t>Dahn Juhn Ki Bub 9</t>
  </si>
  <si>
    <t>Dahn Juhn Ki Bub 10</t>
  </si>
  <si>
    <t>Eue Bohk Soo 1</t>
  </si>
  <si>
    <t>Eue Bohk Soo 2</t>
  </si>
  <si>
    <t>Eue Bohk Soo 3</t>
  </si>
  <si>
    <t>Eue Bohk Soo 4</t>
  </si>
  <si>
    <t>Eue Bohk Soo 5</t>
  </si>
  <si>
    <t>Eue Bohk Soo 6</t>
  </si>
  <si>
    <t>Joong Geup Hyung Part 1</t>
  </si>
  <si>
    <t>Juhl Bong 5</t>
  </si>
  <si>
    <t>Jointed Staff-Spinnig 5</t>
  </si>
  <si>
    <t>Juhl Bong 6</t>
  </si>
  <si>
    <t>Jointed Staff-Spinnig 6</t>
  </si>
  <si>
    <t>Defense Against Clothing Grab</t>
  </si>
  <si>
    <t>Soo Ki 33</t>
  </si>
  <si>
    <t>Soo Ki 34</t>
  </si>
  <si>
    <t>Soo Ki 35</t>
  </si>
  <si>
    <t>Soo Ki 36</t>
  </si>
  <si>
    <t>Johk Sool 10</t>
  </si>
  <si>
    <t>Johk Sool 11</t>
  </si>
  <si>
    <t>Intermediate Level form part 1</t>
  </si>
  <si>
    <t>Dahn Juhn Ki Bub 11</t>
  </si>
  <si>
    <t>Dahn Juhn Ki Bub 12</t>
  </si>
  <si>
    <t>Soo Ki 37</t>
  </si>
  <si>
    <t>Soo Ki 38</t>
  </si>
  <si>
    <t>Soo Ki 39</t>
  </si>
  <si>
    <t>Soo Ki 40</t>
  </si>
  <si>
    <t>Johk Sool 12</t>
  </si>
  <si>
    <t>Johk Sool 13</t>
  </si>
  <si>
    <t>Eue Bohk Soo 7</t>
  </si>
  <si>
    <t>Eue Bohk Soo 8</t>
  </si>
  <si>
    <t>Eue Bohk Soo 9</t>
  </si>
  <si>
    <t>Eue Bohk Soo 10</t>
  </si>
  <si>
    <t>Eue Bohk Soo 11</t>
  </si>
  <si>
    <t>Eue Bohk Soo 12</t>
  </si>
  <si>
    <t>Eue Bohk Soo 13</t>
  </si>
  <si>
    <t>Joong Geup Hyung Part 2</t>
  </si>
  <si>
    <t>Intermediate Level form part 2</t>
  </si>
  <si>
    <t>Juhl Bong 7</t>
  </si>
  <si>
    <t>Juhl Bong 8</t>
  </si>
  <si>
    <t>Jointed Staff-Striking 1</t>
  </si>
  <si>
    <t>Jointed Staff-Striking 2</t>
  </si>
  <si>
    <t>Juhl Bong 9</t>
  </si>
  <si>
    <t>Jointed Staff-Striking 3</t>
  </si>
  <si>
    <t>Johk Sool 14</t>
  </si>
  <si>
    <t>Johk Sool 15</t>
  </si>
  <si>
    <t>An Sohn Mok Soo 1</t>
  </si>
  <si>
    <t>An Sohn Mok Soo 2</t>
  </si>
  <si>
    <t>An Sohn Mok Soo 3</t>
  </si>
  <si>
    <t>An Sohn Mok Soo 4</t>
  </si>
  <si>
    <t>An Sohn Mok Soo 5</t>
  </si>
  <si>
    <t>An Sohn Mok Soo 6</t>
  </si>
  <si>
    <t>Advanced Level form part 1</t>
  </si>
  <si>
    <t>Goh Geup Hyung Part 1</t>
  </si>
  <si>
    <t>Weapons (Form)</t>
  </si>
  <si>
    <t>Jointed Staff-Form</t>
  </si>
  <si>
    <t>Juhl Bong Hyung Part 1</t>
  </si>
  <si>
    <t>Juhl Bong Hyung Part 2</t>
  </si>
  <si>
    <t>History of Tribal/Family Martial Arts In Korea</t>
  </si>
  <si>
    <t>History of Buddhist Temple</t>
  </si>
  <si>
    <t>Soo Ki 41</t>
  </si>
  <si>
    <t>Johk Sool 16</t>
  </si>
  <si>
    <t>Johk Sool 17</t>
  </si>
  <si>
    <t>Johk Sool 18</t>
  </si>
  <si>
    <t>Maek Chi Ki 1</t>
  </si>
  <si>
    <t>Maek Chi Ki 2</t>
  </si>
  <si>
    <t>Maek Chi Ki 3</t>
  </si>
  <si>
    <t>Maek Chi Ki 4</t>
  </si>
  <si>
    <t>Maek Chi Ki 5</t>
  </si>
  <si>
    <t>Maek Chi Ki 6</t>
  </si>
  <si>
    <t>Maek Chi Ki 7</t>
  </si>
  <si>
    <t>Maek Chi Ki 8</t>
  </si>
  <si>
    <t>Maek Chi Ki 9</t>
  </si>
  <si>
    <t>Maek Chi Ki 10</t>
  </si>
  <si>
    <t>Maek Chi Ki 11</t>
  </si>
  <si>
    <t>Maek Chi Ki 12</t>
  </si>
  <si>
    <t>Maek Chi Ki 13</t>
  </si>
  <si>
    <t>Maek Chi Ki 14</t>
  </si>
  <si>
    <t>Maek Chi Ki 15</t>
  </si>
  <si>
    <t>Long Staff-Spinnig 1</t>
  </si>
  <si>
    <t>Long Staff-Spinnig 2</t>
  </si>
  <si>
    <t>Long Staff-Spinnig 3</t>
  </si>
  <si>
    <t>Bong Do Liki 1</t>
  </si>
  <si>
    <t>Bong Do Liki 2</t>
  </si>
  <si>
    <t>Bong Do Liki 3</t>
  </si>
  <si>
    <t>Goh Geup Hyung Part 2</t>
  </si>
  <si>
    <t>Advanced Level form part 2</t>
  </si>
  <si>
    <t xml:space="preserve"> History of the Korean Royal Palace</t>
  </si>
  <si>
    <t>Johk Sool 19</t>
  </si>
  <si>
    <t>Johk Sool 20</t>
  </si>
  <si>
    <t>Johk Sool 21</t>
  </si>
  <si>
    <t>Johk Sool 22</t>
  </si>
  <si>
    <t>Maek Cha Ki 1</t>
  </si>
  <si>
    <t>Maek Cha Ki 2</t>
  </si>
  <si>
    <t>Maek Cha Ki 3</t>
  </si>
  <si>
    <t>Maek Cha Ki 4</t>
  </si>
  <si>
    <t>Maek Cha Ki 5</t>
  </si>
  <si>
    <t>Maek Cha Ki 6</t>
  </si>
  <si>
    <t>Maek Cha Ki 7</t>
  </si>
  <si>
    <t>Maek Cha Ki 8</t>
  </si>
  <si>
    <t>Maek Cha Ki 9</t>
  </si>
  <si>
    <t>Maek Cha Ki 10</t>
  </si>
  <si>
    <t>Maek Cha Ki 11</t>
  </si>
  <si>
    <t>Maek Cha Ki 12</t>
  </si>
  <si>
    <t>Maek Cha Ki 13</t>
  </si>
  <si>
    <t>Maek Cha Ki 14</t>
  </si>
  <si>
    <t>Maek Cha Ki 15</t>
  </si>
  <si>
    <t>Bong Do Liki 4</t>
  </si>
  <si>
    <t>Bong Do Liki 5</t>
  </si>
  <si>
    <t>Long Staff-Spinnig 4</t>
  </si>
  <si>
    <t>Long Staff-Spinnig 5</t>
  </si>
  <si>
    <t>Dae Geup Hyung Part 1</t>
  </si>
  <si>
    <t>Joo Muhk Maga Ki Bon Soo 1</t>
  </si>
  <si>
    <t>Joo Muhk Maga Ki Bon Soo 2</t>
  </si>
  <si>
    <t>Joo Muhk Maga Ki Bon Soo 3</t>
  </si>
  <si>
    <t>Joo Muhk Maga Ki Bon Soo 4</t>
  </si>
  <si>
    <t>Joo Muhk Maga Ki Bon Soo 5</t>
  </si>
  <si>
    <t>Joo Muhk Maga Ki Bon Soo 6</t>
  </si>
  <si>
    <t>Joo Muhk Maga Ki Bon Soo 7</t>
  </si>
  <si>
    <t>Joo Muhk Maga Ki Bon Soo 8</t>
  </si>
  <si>
    <t>Joo Muhk Maga Ki Bon Soo 9</t>
  </si>
  <si>
    <t>Joo Muhk Maga Ki Bon Soo 10</t>
  </si>
  <si>
    <t>Joo Muhk Maga Ki Bon Soo 11</t>
  </si>
  <si>
    <t>Joo Muhk Maga Ki Bon Soo 12</t>
  </si>
  <si>
    <t>Joo Muhk Maga Ki Bon Soo 13</t>
  </si>
  <si>
    <t>Joo Muhk Maga Ki Bon Soo 14</t>
  </si>
  <si>
    <t>Joo Muhk Maga Ki Bon Soo 15</t>
  </si>
  <si>
    <t>Joong Geup Sohn Mok Soo 1</t>
  </si>
  <si>
    <t>Joong Geup Sohn Mok Soo 2</t>
  </si>
  <si>
    <t>Joong Geup Sohn Mok Soo 3</t>
  </si>
  <si>
    <t>Joong Geup Sohn Mok Soo 4</t>
  </si>
  <si>
    <t>Joong Geup Sohn Mok Soo 5</t>
  </si>
  <si>
    <t>Joong Geup Sohn Mok Soo 6</t>
  </si>
  <si>
    <t>Joong Geup Sohn Mok Soo 7</t>
  </si>
  <si>
    <t>Joong Geup Sohn Mok Soo 8</t>
  </si>
  <si>
    <t>Joong Geup Sohn Mok Soo 9</t>
  </si>
  <si>
    <t>Joong Geup Sohn Mok Soo 10</t>
  </si>
  <si>
    <t>Joong Geup Sohn Mok Soo 11</t>
  </si>
  <si>
    <t>Joong Geup Sohn Mok Soo 12</t>
  </si>
  <si>
    <t>Joong Geup Sohn Mok Soo 13</t>
  </si>
  <si>
    <t>Joong Geup Sohn Mok Soo 14</t>
  </si>
  <si>
    <t>Joong Geup Sohn Mok Soo 15</t>
  </si>
  <si>
    <t>Intermediate Defense Against Wrist Grab</t>
  </si>
  <si>
    <t>Bong Do Liki 6</t>
  </si>
  <si>
    <t>Long Staff-Spinnig 6</t>
  </si>
  <si>
    <t>Bong Do Liki 7</t>
  </si>
  <si>
    <t>Long Staff-Spinnig 7</t>
  </si>
  <si>
    <t>Bong Do Liki 8</t>
  </si>
  <si>
    <t>Long Staff-Spinnig 8</t>
  </si>
  <si>
    <t>Guhm Moo Hyung Part 1</t>
  </si>
  <si>
    <t>Ap Eue Bohk Soo 1</t>
  </si>
  <si>
    <t>Ap Eue Bohk Soo 2</t>
  </si>
  <si>
    <t>Ap Eue Bohk Soo 3</t>
  </si>
  <si>
    <t>Ap Eue Bohk Soo 4</t>
  </si>
  <si>
    <t>Ap Eue Bohk Soo 5</t>
  </si>
  <si>
    <t>Ap Eue Bohk Soo 6</t>
  </si>
  <si>
    <t>Ap Eue Bohk Soo 7</t>
  </si>
  <si>
    <t>Ap Eue Bohk Soo 8</t>
  </si>
  <si>
    <t>Ap Eue Bohk Soo 9</t>
  </si>
  <si>
    <t>Ap Eue Bohk Soo 10</t>
  </si>
  <si>
    <t>Ap Eue Bohk Soo 11</t>
  </si>
  <si>
    <t>Ap Eue Bohk Soo 12</t>
  </si>
  <si>
    <t>Ap Eue Bohk Soo 13</t>
  </si>
  <si>
    <t>Ap Eue Bohk Soo 14</t>
  </si>
  <si>
    <t>Ap Eue Bohk Soo 15</t>
  </si>
  <si>
    <t>Ap Eue Bohk Soo 16</t>
  </si>
  <si>
    <t>Ap Eue Bohk Soo 17</t>
  </si>
  <si>
    <t>Ap Eue Bohk Soo 18</t>
  </si>
  <si>
    <t>Ap Eue Bohk Soo 19</t>
  </si>
  <si>
    <t>Ap Eue Bohk Soo 20</t>
  </si>
  <si>
    <t>Defense Against Front Clothing Grab</t>
  </si>
  <si>
    <t>Bong Do Liki  9a/9b</t>
  </si>
  <si>
    <t>Long Staff-Spinnig 9</t>
  </si>
  <si>
    <t>Long Staff-Spinnig 10</t>
  </si>
  <si>
    <t>Guhm Moo Hyung Part 2</t>
  </si>
  <si>
    <t>Dae Eue Bok Soo 1</t>
  </si>
  <si>
    <t>Dae Eue Bok Soo 2</t>
  </si>
  <si>
    <t>Dae Eue Bok Soo 3</t>
  </si>
  <si>
    <t>Dae Eue Bok Soo 4</t>
  </si>
  <si>
    <t>Dae Eue Bok Soo 5</t>
  </si>
  <si>
    <t>Dae Eue Bok Soo 6</t>
  </si>
  <si>
    <t>Dae Eue Bok Soo 7</t>
  </si>
  <si>
    <t>Dae Eue Bok Soo 8</t>
  </si>
  <si>
    <t>Dae Eue Bok Soo 9</t>
  </si>
  <si>
    <t>Dae Eue Bok Soo 10</t>
  </si>
  <si>
    <t>Dae Eue Bok Soo 11</t>
  </si>
  <si>
    <t>Dae Eue Bok Soo 12</t>
  </si>
  <si>
    <t>Dae Eue Bok Soo 13</t>
  </si>
  <si>
    <t>Dae Eue Bok Soo 14</t>
  </si>
  <si>
    <t>Dae Eue Bok Soo 15</t>
  </si>
  <si>
    <t>Dae Eue Bok Soo 16</t>
  </si>
  <si>
    <t>Dae Eue Bok Soo 17</t>
  </si>
  <si>
    <t>Dae Eue Bok Soo 18</t>
  </si>
  <si>
    <t>Dae Eue Bok Soo 19</t>
  </si>
  <si>
    <t>Dae Eue Bok Soo 20</t>
  </si>
  <si>
    <t>Dae Eue Bok Soo 21</t>
  </si>
  <si>
    <t>Dae Eue Bok Soo 22</t>
  </si>
  <si>
    <t>Dae Eue Bok Soo 23</t>
  </si>
  <si>
    <t>Defense Against Rear Clothing Grab</t>
  </si>
  <si>
    <t>Bong Do Liki 11A/11B</t>
  </si>
  <si>
    <t>Bong Do Liki 12A/12B</t>
  </si>
  <si>
    <t>Long Staff-Spinnig 11</t>
  </si>
  <si>
    <t>Kwahn Juhl Ki 1</t>
  </si>
  <si>
    <t>Kwahn Juhl Ki 2</t>
  </si>
  <si>
    <t>Kwahn Juhl Ki 3</t>
  </si>
  <si>
    <t>Kwahn Juhl Ki 4</t>
  </si>
  <si>
    <t>Kwahn Juhl Ki 5</t>
  </si>
  <si>
    <t>Kwahn Juhl Ki 6</t>
  </si>
  <si>
    <t>Kwahn Juhl Ki 7</t>
  </si>
  <si>
    <t>Kwahn Juhl Ki 8</t>
  </si>
  <si>
    <t>Kwahn Juhl Ki 9</t>
  </si>
  <si>
    <t>Kwahn Juhl Ki 10</t>
  </si>
  <si>
    <t>Kwahn Juhl Ki 11</t>
  </si>
  <si>
    <t>Kwahn Juhl Ki 12</t>
  </si>
  <si>
    <t>Kwahn Juhl Ki 13</t>
  </si>
  <si>
    <t xml:space="preserve">Defense Against </t>
  </si>
  <si>
    <t>Bong Do Liki 13A/B</t>
  </si>
  <si>
    <t>Bong Do Liki 14A/B</t>
  </si>
  <si>
    <t>Bong Do Liki 15A/B</t>
  </si>
  <si>
    <t>Long Staff-Spinnig 12</t>
  </si>
  <si>
    <t>Long Staff-Spinnig 13</t>
  </si>
  <si>
    <t>Long Staff-Spinnig 14</t>
  </si>
  <si>
    <t>Bahng Too Ki 1</t>
  </si>
  <si>
    <t>Bahng Too Ki 2</t>
  </si>
  <si>
    <t>Bahng Too Ki 3</t>
  </si>
  <si>
    <t>Bahng Too Ki 4</t>
  </si>
  <si>
    <t>Bahng Too Ki 5</t>
  </si>
  <si>
    <t>Mohk Joh Leu Ki 1</t>
  </si>
  <si>
    <t>Mohk Joh Leu Ki 2</t>
  </si>
  <si>
    <t>Mohk Joh Leu Ki 3</t>
  </si>
  <si>
    <t>Mohk Joh Leu Ki 4</t>
  </si>
  <si>
    <t>Mohk Joh Leu Ki 5</t>
  </si>
  <si>
    <t>Long Staff-Form</t>
  </si>
  <si>
    <t>Joong Bong Il Hyung Part 1</t>
  </si>
  <si>
    <t>Joong Bong Il Hyung Part 2</t>
  </si>
  <si>
    <t>Too Ki 1</t>
  </si>
  <si>
    <t>Too Ki 2</t>
  </si>
  <si>
    <t>Too Ki 3</t>
  </si>
  <si>
    <t>Too Ki 4</t>
  </si>
  <si>
    <t>Too Ki 5</t>
  </si>
  <si>
    <t>Too Ki 6</t>
  </si>
  <si>
    <t>Too Ki 7</t>
  </si>
  <si>
    <t>Too Ki 8</t>
  </si>
  <si>
    <t>Yahng Sahn Mok Soo 1</t>
  </si>
  <si>
    <t>Yahng Sahn Mok Soo 2</t>
  </si>
  <si>
    <t>Yahng Sahn Mok Soo 3</t>
  </si>
  <si>
    <t>Yahng Sahn Mok Soo 4</t>
  </si>
  <si>
    <t>Yahng Sahn Mok Soo 5</t>
  </si>
  <si>
    <t>Yahng Sahn Mok Soo 6</t>
  </si>
  <si>
    <t>Yahng Sahn Mok Soo 7</t>
  </si>
  <si>
    <t>Yahng Sahn Mok Soo 8</t>
  </si>
  <si>
    <t>Defense Against Two Handed Wrist Grab</t>
  </si>
  <si>
    <t>Ssahng Soo 1</t>
  </si>
  <si>
    <t>Ssahng Soo 2</t>
  </si>
  <si>
    <t>Ssahng Soo 3</t>
  </si>
  <si>
    <t>Ssahng Soo 4</t>
  </si>
  <si>
    <t>Ssahng Soo 5</t>
  </si>
  <si>
    <t>Dahn Do Mahk Ki 1</t>
  </si>
  <si>
    <t>Dahn Do Mahk Ki 2</t>
  </si>
  <si>
    <t>Dahn Do Mahk Ki 3</t>
  </si>
  <si>
    <t>Dahn Do Mahk Ki 4</t>
  </si>
  <si>
    <t>Dahn Do Mahk Ki 5</t>
  </si>
  <si>
    <t>Defense Against Both Wrists Grabbed</t>
  </si>
  <si>
    <t>Defense Against Knife Attacks</t>
  </si>
  <si>
    <t>Dahn Do Mahk Ki 6</t>
  </si>
  <si>
    <t>Dahn Do Mahk Ki 7</t>
  </si>
  <si>
    <t>Dahn Do Mahk Ki 8</t>
  </si>
  <si>
    <t>Dahn Do Mahk Ki 9</t>
  </si>
  <si>
    <t>Dahn Do Mahk Ki 10</t>
  </si>
  <si>
    <t>Dahn Do Mahk Ki 11</t>
  </si>
  <si>
    <t>Dahn Do Mahk Ki 12</t>
  </si>
  <si>
    <t>Dahn Do Mahk Ki 13</t>
  </si>
  <si>
    <t>Dahn Do Mahk Ki 14</t>
  </si>
  <si>
    <t>Dahn Do Mahk Ki 15</t>
  </si>
  <si>
    <t>Learning Objective</t>
  </si>
  <si>
    <t>Descriptiion</t>
  </si>
  <si>
    <t>Key</t>
  </si>
  <si>
    <t>Count</t>
  </si>
  <si>
    <t>Foundations of  a Mmatial Arts Stance</t>
  </si>
  <si>
    <t>Learning Korean</t>
  </si>
  <si>
    <t>Count to 10</t>
  </si>
  <si>
    <t>Jah Se 1</t>
  </si>
  <si>
    <t>Jah Se 2</t>
  </si>
  <si>
    <t>Jah Se 3</t>
  </si>
  <si>
    <t>Jah Se 4</t>
  </si>
  <si>
    <t>Jah Se 5</t>
  </si>
  <si>
    <t>Jah Se 6</t>
  </si>
  <si>
    <t>Jah Se 7</t>
  </si>
  <si>
    <t>Jah Se 8</t>
  </si>
  <si>
    <t>Stance</t>
  </si>
  <si>
    <t>Meditation</t>
  </si>
  <si>
    <t>Ki Exercise 2</t>
  </si>
  <si>
    <t>Ki Exercise 3</t>
  </si>
  <si>
    <t>Ki Exercise 4</t>
  </si>
  <si>
    <t>Ki Exercise 5</t>
  </si>
  <si>
    <t>Ki Exercise 6</t>
  </si>
  <si>
    <t>Ki Exercise</t>
  </si>
  <si>
    <t>Conditioning</t>
  </si>
  <si>
    <t>Open Hand Strikes</t>
  </si>
  <si>
    <t>Leg Strikes</t>
  </si>
  <si>
    <t xml:space="preserve">Wrist Escapes: </t>
  </si>
  <si>
    <t>Defense Against Wrist Grab</t>
  </si>
  <si>
    <t>Standard</t>
  </si>
  <si>
    <t>Sword Cutting Technique 1</t>
  </si>
  <si>
    <t>Sword Cutting Technique 2</t>
  </si>
  <si>
    <t>Sword Cutting Technique 3</t>
  </si>
  <si>
    <t>Sword Cutting Technique 4</t>
  </si>
  <si>
    <t>Sword Cutting Technique 5</t>
  </si>
  <si>
    <t>Sword Cutting Technique 6</t>
  </si>
  <si>
    <t>Sword Form Part 2</t>
  </si>
  <si>
    <t>Sword Form Part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</si>
</sst>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409]d\-mmm\-yy;@"/>
    <numFmt numFmtId="166" formatCode="ddd\ d\-mmm\-yy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FFFF00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0" fillId="0" borderId="1" xfId="0" applyBorder="1"/>
    <xf numFmtId="0" fontId="1" fillId="5" borderId="1" xfId="0" applyFont="1" applyFill="1" applyBorder="1" applyAlignment="1">
      <alignment horizontal="left"/>
    </xf>
    <xf numFmtId="166" fontId="1" fillId="4" borderId="1" xfId="0" applyNumberFormat="1" applyFont="1" applyFill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166" fontId="1" fillId="4" borderId="0" xfId="0" applyNumberFormat="1" applyFont="1" applyFill="1" applyAlignment="1">
      <alignment horizontal="center"/>
    </xf>
    <xf numFmtId="0" fontId="1" fillId="4" borderId="0" xfId="0" applyFont="1" applyFill="1"/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4" fillId="5" borderId="1" xfId="0" applyFont="1" applyFill="1" applyBorder="1"/>
    <xf numFmtId="0" fontId="5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0" borderId="1" xfId="0" applyFont="1" applyBorder="1"/>
    <xf numFmtId="0" fontId="2" fillId="6" borderId="1" xfId="0" applyFont="1" applyFill="1" applyBorder="1"/>
    <xf numFmtId="0" fontId="1" fillId="4" borderId="1" xfId="0" applyFont="1" applyFill="1" applyBorder="1"/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4" borderId="6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6" fontId="2" fillId="2" borderId="6" xfId="0" applyNumberFormat="1" applyFont="1" applyFill="1" applyBorder="1" applyAlignment="1">
      <alignment horizontal="center"/>
    </xf>
    <xf numFmtId="0" fontId="1" fillId="0" borderId="6" xfId="0" applyFont="1" applyBorder="1"/>
    <xf numFmtId="0" fontId="2" fillId="0" borderId="6" xfId="0" applyFont="1" applyBorder="1"/>
    <xf numFmtId="0" fontId="2" fillId="2" borderId="5" xfId="0" applyFont="1" applyFill="1" applyBorder="1" applyAlignment="1">
      <alignment horizontal="center"/>
    </xf>
    <xf numFmtId="165" fontId="1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66" fontId="1" fillId="4" borderId="6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4" fillId="4" borderId="0" xfId="0" applyFont="1" applyFill="1"/>
    <xf numFmtId="0" fontId="4" fillId="4" borderId="1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3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7" borderId="1" xfId="0" applyFont="1" applyFill="1" applyBorder="1"/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7" fillId="7" borderId="0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0" fillId="4" borderId="0" xfId="0" applyFont="1" applyFill="1"/>
    <xf numFmtId="0" fontId="1" fillId="4" borderId="1" xfId="0" applyFont="1" applyFill="1" applyBorder="1" applyAlignment="1">
      <alignment horizontal="left" vertical="center"/>
    </xf>
    <xf numFmtId="0" fontId="0" fillId="4" borderId="1" xfId="0" applyFont="1" applyFill="1" applyBorder="1"/>
    <xf numFmtId="0" fontId="0" fillId="4" borderId="1" xfId="0" applyFont="1" applyFill="1" applyBorder="1" applyAlignment="1">
      <alignment horizontal="center"/>
    </xf>
    <xf numFmtId="0" fontId="0" fillId="0" borderId="4" xfId="0" applyBorder="1"/>
    <xf numFmtId="0" fontId="0" fillId="4" borderId="4" xfId="0" applyFont="1" applyFill="1" applyBorder="1"/>
    <xf numFmtId="0" fontId="7" fillId="0" borderId="1" xfId="0" applyFont="1" applyBorder="1"/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left"/>
    </xf>
    <xf numFmtId="0" fontId="3" fillId="4" borderId="1" xfId="0" applyFont="1" applyFill="1" applyBorder="1" applyAlignment="1"/>
    <xf numFmtId="0" fontId="9" fillId="4" borderId="1" xfId="0" applyFont="1" applyFill="1" applyBorder="1" applyAlignment="1">
      <alignment horizontal="left"/>
    </xf>
    <xf numFmtId="0" fontId="9" fillId="4" borderId="1" xfId="0" applyFont="1" applyFill="1" applyBorder="1" applyAlignment="1"/>
    <xf numFmtId="0" fontId="3" fillId="0" borderId="1" xfId="0" applyFont="1" applyBorder="1" applyAlignment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/>
    <xf numFmtId="0" fontId="3" fillId="0" borderId="1" xfId="0" applyFont="1" applyBorder="1" applyAlignment="1">
      <alignment horizontal="left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 applyAlignment="1"/>
    <xf numFmtId="0" fontId="7" fillId="0" borderId="1" xfId="0" applyFont="1" applyBorder="1" applyAlignment="1">
      <alignment vertical="center"/>
    </xf>
    <xf numFmtId="0" fontId="10" fillId="4" borderId="1" xfId="0" applyFont="1" applyFill="1" applyBorder="1"/>
    <xf numFmtId="0" fontId="9" fillId="4" borderId="1" xfId="0" applyFont="1" applyFill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166" fontId="7" fillId="0" borderId="1" xfId="0" applyNumberFormat="1" applyFont="1" applyBorder="1" applyAlignment="1">
      <alignment horizontal="left"/>
    </xf>
    <xf numFmtId="166" fontId="3" fillId="0" borderId="1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horizontal="left"/>
    </xf>
    <xf numFmtId="0" fontId="7" fillId="7" borderId="1" xfId="0" applyFont="1" applyFill="1" applyBorder="1" applyAlignment="1"/>
    <xf numFmtId="0" fontId="3" fillId="4" borderId="1" xfId="0" applyFont="1" applyFill="1" applyBorder="1" applyAlignment="1">
      <alignment vertical="center"/>
    </xf>
    <xf numFmtId="0" fontId="9" fillId="4" borderId="0" xfId="0" applyFont="1" applyFill="1" applyBorder="1"/>
    <xf numFmtId="0" fontId="3" fillId="4" borderId="0" xfId="0" applyFont="1" applyFill="1" applyBorder="1"/>
    <xf numFmtId="0" fontId="3" fillId="0" borderId="0" xfId="0" applyFont="1" applyBorder="1"/>
    <xf numFmtId="0" fontId="7" fillId="4" borderId="0" xfId="0" applyFont="1" applyFill="1" applyBorder="1"/>
    <xf numFmtId="0" fontId="7" fillId="0" borderId="0" xfId="0" applyFont="1" applyBorder="1" applyAlignment="1"/>
    <xf numFmtId="0" fontId="10" fillId="4" borderId="0" xfId="0" applyFont="1" applyFill="1" applyBorder="1"/>
    <xf numFmtId="0" fontId="7" fillId="0" borderId="0" xfId="0" applyFont="1" applyBorder="1"/>
    <xf numFmtId="0" fontId="7" fillId="7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601980</xdr:colOff>
      <xdr:row>54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C1E5DC-F448-096F-4782-123899BCA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917180" cy="9974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4A2E-3221-461C-BA89-410641491D0F}">
  <dimension ref="A1:E26"/>
  <sheetViews>
    <sheetView workbookViewId="0">
      <selection activeCell="B2" sqref="B2"/>
    </sheetView>
  </sheetViews>
  <sheetFormatPr defaultColWidth="8.7265625" defaultRowHeight="15.5" x14ac:dyDescent="0.35"/>
  <cols>
    <col min="1" max="1" width="25.453125" style="1" bestFit="1" customWidth="1"/>
    <col min="2" max="4" width="16.1796875" style="2" customWidth="1"/>
    <col min="5" max="5" width="13.26953125" style="1" bestFit="1" customWidth="1"/>
    <col min="6" max="16384" width="8.7265625" style="1"/>
  </cols>
  <sheetData>
    <row r="1" spans="1:5" x14ac:dyDescent="0.35">
      <c r="A1" s="6" t="s">
        <v>37</v>
      </c>
      <c r="B1" s="4" t="s">
        <v>40</v>
      </c>
    </row>
    <row r="2" spans="1:5" x14ac:dyDescent="0.35">
      <c r="A2" s="6" t="s">
        <v>38</v>
      </c>
      <c r="B2" s="5">
        <v>43757</v>
      </c>
      <c r="E2" s="2"/>
    </row>
    <row r="3" spans="1:5" x14ac:dyDescent="0.35">
      <c r="A3" s="6" t="s">
        <v>51</v>
      </c>
      <c r="B3" s="5"/>
      <c r="E3" s="2"/>
    </row>
    <row r="4" spans="1:5" x14ac:dyDescent="0.35">
      <c r="A4" s="6" t="s">
        <v>39</v>
      </c>
      <c r="B4" s="4"/>
      <c r="E4" s="2"/>
    </row>
    <row r="5" spans="1:5" x14ac:dyDescent="0.35">
      <c r="A5" s="6" t="s">
        <v>41</v>
      </c>
      <c r="B5" s="3" t="s">
        <v>58</v>
      </c>
      <c r="C5" s="4" t="s">
        <v>45</v>
      </c>
    </row>
    <row r="6" spans="1:5" x14ac:dyDescent="0.35">
      <c r="A6" s="6" t="s">
        <v>52</v>
      </c>
      <c r="B6" s="4"/>
      <c r="D6" s="1"/>
      <c r="E6" s="2"/>
    </row>
    <row r="8" spans="1:5" x14ac:dyDescent="0.35">
      <c r="A8" s="6"/>
      <c r="B8" s="6" t="s">
        <v>59</v>
      </c>
      <c r="C8" s="7" t="s">
        <v>49</v>
      </c>
      <c r="D8" s="7" t="s">
        <v>43</v>
      </c>
      <c r="E8" s="7" t="s">
        <v>36</v>
      </c>
    </row>
    <row r="9" spans="1:5" x14ac:dyDescent="0.35">
      <c r="A9" s="3" t="s">
        <v>53</v>
      </c>
      <c r="B9" s="3" t="s">
        <v>42</v>
      </c>
      <c r="C9" s="4">
        <v>0</v>
      </c>
      <c r="D9" s="4">
        <v>0</v>
      </c>
      <c r="E9" s="5">
        <f>$B$2</f>
        <v>43757</v>
      </c>
    </row>
    <row r="10" spans="1:5" x14ac:dyDescent="0.35">
      <c r="A10" s="3" t="s">
        <v>53</v>
      </c>
      <c r="B10" s="3" t="s">
        <v>3</v>
      </c>
      <c r="C10" s="4">
        <f>SUM(E10-E9)</f>
        <v>90</v>
      </c>
      <c r="D10" s="4">
        <v>1</v>
      </c>
      <c r="E10" s="5">
        <f t="shared" ref="E10:E24" si="0">SUM(E9+90)</f>
        <v>43847</v>
      </c>
    </row>
    <row r="11" spans="1:5" x14ac:dyDescent="0.35">
      <c r="A11" s="3" t="s">
        <v>54</v>
      </c>
      <c r="B11" s="3" t="s">
        <v>13</v>
      </c>
      <c r="C11" s="4">
        <f t="shared" ref="C11:C24" si="1">SUM(E11-E10)</f>
        <v>90</v>
      </c>
      <c r="D11" s="4">
        <v>2</v>
      </c>
      <c r="E11" s="5">
        <f t="shared" si="0"/>
        <v>43937</v>
      </c>
    </row>
    <row r="12" spans="1:5" x14ac:dyDescent="0.35">
      <c r="A12" s="3" t="s">
        <v>54</v>
      </c>
      <c r="B12" s="3" t="s">
        <v>15</v>
      </c>
      <c r="C12" s="4">
        <f t="shared" si="1"/>
        <v>90</v>
      </c>
      <c r="D12" s="4">
        <v>3</v>
      </c>
      <c r="E12" s="5">
        <f t="shared" si="0"/>
        <v>44027</v>
      </c>
    </row>
    <row r="13" spans="1:5" x14ac:dyDescent="0.35">
      <c r="A13" s="3" t="s">
        <v>55</v>
      </c>
      <c r="B13" s="3" t="s">
        <v>14</v>
      </c>
      <c r="C13" s="4">
        <f t="shared" si="1"/>
        <v>90</v>
      </c>
      <c r="D13" s="4">
        <v>4</v>
      </c>
      <c r="E13" s="5">
        <f t="shared" si="0"/>
        <v>44117</v>
      </c>
    </row>
    <row r="14" spans="1:5" x14ac:dyDescent="0.35">
      <c r="A14" s="3" t="s">
        <v>55</v>
      </c>
      <c r="B14" s="3" t="s">
        <v>16</v>
      </c>
      <c r="C14" s="4">
        <f t="shared" si="1"/>
        <v>90</v>
      </c>
      <c r="D14" s="4">
        <v>5</v>
      </c>
      <c r="E14" s="5">
        <f t="shared" si="0"/>
        <v>44207</v>
      </c>
    </row>
    <row r="15" spans="1:5" x14ac:dyDescent="0.35">
      <c r="A15" s="3" t="s">
        <v>56</v>
      </c>
      <c r="B15" s="3" t="s">
        <v>17</v>
      </c>
      <c r="C15" s="4">
        <f t="shared" si="1"/>
        <v>90</v>
      </c>
      <c r="D15" s="4">
        <v>6</v>
      </c>
      <c r="E15" s="5">
        <f t="shared" si="0"/>
        <v>44297</v>
      </c>
    </row>
    <row r="16" spans="1:5" x14ac:dyDescent="0.35">
      <c r="A16" s="3" t="s">
        <v>56</v>
      </c>
      <c r="B16" s="3" t="s">
        <v>18</v>
      </c>
      <c r="C16" s="4">
        <f t="shared" si="1"/>
        <v>90</v>
      </c>
      <c r="D16" s="4">
        <v>7</v>
      </c>
      <c r="E16" s="5">
        <f t="shared" si="0"/>
        <v>44387</v>
      </c>
    </row>
    <row r="17" spans="1:5" x14ac:dyDescent="0.35">
      <c r="A17" s="3" t="s">
        <v>57</v>
      </c>
      <c r="B17" s="3" t="s">
        <v>19</v>
      </c>
      <c r="C17" s="4">
        <f t="shared" si="1"/>
        <v>90</v>
      </c>
      <c r="D17" s="4">
        <v>8</v>
      </c>
      <c r="E17" s="5">
        <f t="shared" si="0"/>
        <v>44477</v>
      </c>
    </row>
    <row r="18" spans="1:5" x14ac:dyDescent="0.35">
      <c r="A18" s="3" t="s">
        <v>57</v>
      </c>
      <c r="B18" s="3" t="s">
        <v>35</v>
      </c>
      <c r="C18" s="4">
        <f t="shared" si="1"/>
        <v>90</v>
      </c>
      <c r="D18" s="4">
        <v>9</v>
      </c>
      <c r="E18" s="5">
        <f t="shared" si="0"/>
        <v>44567</v>
      </c>
    </row>
    <row r="19" spans="1:5" x14ac:dyDescent="0.35">
      <c r="A19" s="3" t="s">
        <v>58</v>
      </c>
      <c r="B19" s="3" t="s">
        <v>46</v>
      </c>
      <c r="C19" s="4">
        <f t="shared" si="1"/>
        <v>90</v>
      </c>
      <c r="D19" s="4">
        <v>10</v>
      </c>
      <c r="E19" s="5">
        <f t="shared" si="0"/>
        <v>44657</v>
      </c>
    </row>
    <row r="20" spans="1:5" x14ac:dyDescent="0.35">
      <c r="A20" s="3" t="s">
        <v>58</v>
      </c>
      <c r="B20" s="3" t="s">
        <v>45</v>
      </c>
      <c r="C20" s="4">
        <f t="shared" si="1"/>
        <v>90</v>
      </c>
      <c r="D20" s="4">
        <v>11</v>
      </c>
      <c r="E20" s="5">
        <f t="shared" si="0"/>
        <v>44747</v>
      </c>
    </row>
    <row r="21" spans="1:5" x14ac:dyDescent="0.35">
      <c r="A21" s="3" t="s">
        <v>58</v>
      </c>
      <c r="B21" s="3" t="s">
        <v>44</v>
      </c>
      <c r="C21" s="4">
        <f t="shared" si="1"/>
        <v>90</v>
      </c>
      <c r="D21" s="4">
        <v>12</v>
      </c>
      <c r="E21" s="5">
        <f t="shared" si="0"/>
        <v>44837</v>
      </c>
    </row>
    <row r="22" spans="1:5" x14ac:dyDescent="0.35">
      <c r="A22" s="3" t="s">
        <v>58</v>
      </c>
      <c r="B22" s="3" t="s">
        <v>47</v>
      </c>
      <c r="C22" s="4">
        <f t="shared" si="1"/>
        <v>90</v>
      </c>
      <c r="D22" s="4">
        <v>13</v>
      </c>
      <c r="E22" s="5">
        <f t="shared" si="0"/>
        <v>44927</v>
      </c>
    </row>
    <row r="23" spans="1:5" x14ac:dyDescent="0.35">
      <c r="A23" s="3" t="s">
        <v>58</v>
      </c>
      <c r="B23" s="3" t="s">
        <v>48</v>
      </c>
      <c r="C23" s="4">
        <f t="shared" si="1"/>
        <v>90</v>
      </c>
      <c r="D23" s="4">
        <v>14</v>
      </c>
      <c r="E23" s="5">
        <f t="shared" si="0"/>
        <v>45017</v>
      </c>
    </row>
    <row r="24" spans="1:5" x14ac:dyDescent="0.35">
      <c r="A24" s="3" t="s">
        <v>60</v>
      </c>
      <c r="B24" s="3" t="s">
        <v>20</v>
      </c>
      <c r="C24" s="4">
        <f t="shared" si="1"/>
        <v>90</v>
      </c>
      <c r="D24" s="4">
        <v>15</v>
      </c>
      <c r="E24" s="5">
        <f t="shared" si="0"/>
        <v>45107</v>
      </c>
    </row>
    <row r="25" spans="1:5" x14ac:dyDescent="0.35">
      <c r="B25" s="1"/>
    </row>
    <row r="26" spans="1:5" x14ac:dyDescent="0.35">
      <c r="B26" s="1"/>
    </row>
  </sheetData>
  <conditionalFormatting sqref="A9:B24">
    <cfRule type="cellIs" dxfId="0" priority="3" operator="equal">
      <formula>$C$5</formula>
    </cfRule>
  </conditionalFormatting>
  <dataValidations count="2">
    <dataValidation type="list" allowBlank="1" showInputMessage="1" showErrorMessage="1" sqref="B6 C5" xr:uid="{E876C192-E8FD-4E3B-8A07-4978C1E70854}">
      <formula1>$B$9:$B$24</formula1>
    </dataValidation>
    <dataValidation type="list" allowBlank="1" showInputMessage="1" showErrorMessage="1" sqref="B5" xr:uid="{19C3CD56-B69A-4E3D-B725-3781B69FDFC7}">
      <formula1>$A$9:$A$24</formula1>
    </dataValidation>
  </dataValidations>
  <pageMargins left="0.7" right="0.7" top="0.75" bottom="0.75" header="0.3" footer="0.3"/>
  <pageSetup paperSize="0" orientation="portrait" horizontalDpi="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E8EC-3F66-4865-B6CF-67A99B851DE2}">
  <dimension ref="A1:AB101"/>
  <sheetViews>
    <sheetView topLeftCell="A5" zoomScale="85" zoomScaleNormal="85" workbookViewId="0">
      <selection activeCell="A19" sqref="A19:A20"/>
    </sheetView>
  </sheetViews>
  <sheetFormatPr defaultColWidth="8.7265625" defaultRowHeight="15.5" x14ac:dyDescent="0.35"/>
  <cols>
    <col min="1" max="1" width="24.1796875" style="1" bestFit="1" customWidth="1"/>
    <col min="2" max="2" width="25.453125" style="1" customWidth="1"/>
    <col min="3" max="3" width="19.7265625" style="2" bestFit="1" customWidth="1"/>
    <col min="4" max="4" width="16.7265625" style="18" bestFit="1" customWidth="1"/>
    <col min="5" max="5" width="11.7265625" style="2" customWidth="1"/>
    <col min="6" max="6" width="25.54296875" style="2" bestFit="1" customWidth="1"/>
    <col min="7" max="7" width="167" style="27" bestFit="1" customWidth="1"/>
    <col min="8" max="9" width="8.7265625" style="15"/>
    <col min="10" max="10" width="11.7265625" style="15" bestFit="1" customWidth="1"/>
    <col min="11" max="28" width="8.7265625" style="15"/>
    <col min="29" max="16384" width="8.7265625" style="1"/>
  </cols>
  <sheetData>
    <row r="1" spans="1:7" s="15" customFormat="1" x14ac:dyDescent="0.35">
      <c r="A1" s="9" t="s">
        <v>33</v>
      </c>
      <c r="B1" s="10">
        <f>BIO!$B$2</f>
        <v>43757</v>
      </c>
      <c r="C1" s="9" t="s">
        <v>50</v>
      </c>
      <c r="D1" s="11">
        <f ca="1">TODAY()</f>
        <v>46119</v>
      </c>
      <c r="E1" s="13"/>
      <c r="F1" s="13"/>
      <c r="G1" s="28"/>
    </row>
    <row r="2" spans="1:7" s="15" customFormat="1" x14ac:dyDescent="0.35">
      <c r="A2" s="9" t="s">
        <v>41</v>
      </c>
      <c r="B2" s="10" t="str">
        <f>BIO!$C$5</f>
        <v>3 Black Stripes</v>
      </c>
      <c r="C2" s="9" t="s">
        <v>5</v>
      </c>
      <c r="D2" s="11">
        <f>VLOOKUP(B3,Target,4,0)</f>
        <v>43937</v>
      </c>
      <c r="E2" s="13"/>
      <c r="F2" s="13"/>
      <c r="G2" s="28"/>
    </row>
    <row r="3" spans="1:7" s="15" customFormat="1" x14ac:dyDescent="0.35">
      <c r="A3" s="20" t="s">
        <v>34</v>
      </c>
      <c r="B3" s="21" t="s">
        <v>13</v>
      </c>
      <c r="C3" s="9" t="s">
        <v>12</v>
      </c>
      <c r="D3" s="12">
        <f ca="1">SUM(D2-(TODAY()))</f>
        <v>-2182</v>
      </c>
      <c r="E3" s="13"/>
      <c r="F3" s="13"/>
      <c r="G3" s="28"/>
    </row>
    <row r="4" spans="1:7" s="15" customFormat="1" x14ac:dyDescent="0.35">
      <c r="A4" s="57" t="s">
        <v>62</v>
      </c>
      <c r="B4" s="57"/>
      <c r="C4" s="57"/>
      <c r="D4" s="57"/>
      <c r="E4" s="57"/>
      <c r="F4" s="57"/>
      <c r="G4" s="57"/>
    </row>
    <row r="5" spans="1:7" s="15" customFormat="1" x14ac:dyDescent="0.35">
      <c r="A5" s="24" t="s">
        <v>130</v>
      </c>
      <c r="B5" s="17" t="s">
        <v>63</v>
      </c>
      <c r="C5" s="17" t="s">
        <v>11</v>
      </c>
      <c r="D5" s="17" t="s">
        <v>68</v>
      </c>
      <c r="E5" s="17" t="s">
        <v>6</v>
      </c>
      <c r="F5" s="61" t="s">
        <v>144</v>
      </c>
      <c r="G5" s="62"/>
    </row>
    <row r="6" spans="1:7" s="44" customFormat="1" x14ac:dyDescent="0.35">
      <c r="A6" s="21" t="s">
        <v>131</v>
      </c>
      <c r="B6" s="21"/>
      <c r="C6" s="21"/>
      <c r="D6" s="21"/>
      <c r="E6" s="21"/>
      <c r="F6" s="63"/>
      <c r="G6" s="63"/>
    </row>
    <row r="7" spans="1:7" s="44" customFormat="1" x14ac:dyDescent="0.35">
      <c r="A7" s="48"/>
      <c r="B7" s="43"/>
      <c r="C7" s="43"/>
      <c r="D7" s="43"/>
      <c r="E7" s="43"/>
      <c r="F7" s="43"/>
      <c r="G7" s="43"/>
    </row>
    <row r="8" spans="1:7" s="15" customFormat="1" x14ac:dyDescent="0.35">
      <c r="A8" s="24" t="s">
        <v>132</v>
      </c>
      <c r="B8" s="17" t="s">
        <v>63</v>
      </c>
      <c r="C8" s="17" t="s">
        <v>11</v>
      </c>
      <c r="D8" s="17" t="s">
        <v>68</v>
      </c>
      <c r="E8" s="17" t="s">
        <v>6</v>
      </c>
      <c r="F8" s="17" t="s">
        <v>254</v>
      </c>
      <c r="G8" s="29"/>
    </row>
    <row r="9" spans="1:7" s="44" customFormat="1" x14ac:dyDescent="0.35">
      <c r="A9" s="45" t="s">
        <v>135</v>
      </c>
      <c r="B9" s="11">
        <f t="shared" ref="B9:B13" ca="1" si="0">TODAY()</f>
        <v>46119</v>
      </c>
      <c r="C9" s="4">
        <v>14</v>
      </c>
      <c r="D9" s="11">
        <f t="shared" ref="D9:D13" ca="1" si="1">SUM(B9+C9)</f>
        <v>46133</v>
      </c>
      <c r="E9" s="4" t="s">
        <v>25</v>
      </c>
      <c r="F9" s="45" t="s">
        <v>133</v>
      </c>
      <c r="G9" s="43"/>
    </row>
    <row r="10" spans="1:7" s="44" customFormat="1" x14ac:dyDescent="0.35">
      <c r="A10" s="45" t="s">
        <v>134</v>
      </c>
      <c r="B10" s="11">
        <f t="shared" ca="1" si="0"/>
        <v>46119</v>
      </c>
      <c r="C10" s="4">
        <v>14</v>
      </c>
      <c r="D10" s="11">
        <f t="shared" ca="1" si="1"/>
        <v>46133</v>
      </c>
      <c r="E10" s="4" t="s">
        <v>25</v>
      </c>
      <c r="F10" s="45" t="s">
        <v>136</v>
      </c>
      <c r="G10" s="43"/>
    </row>
    <row r="11" spans="1:7" s="44" customFormat="1" x14ac:dyDescent="0.35">
      <c r="A11" s="45" t="s">
        <v>137</v>
      </c>
      <c r="B11" s="11">
        <f t="shared" ca="1" si="0"/>
        <v>46119</v>
      </c>
      <c r="C11" s="4">
        <v>14</v>
      </c>
      <c r="D11" s="11">
        <f t="shared" ca="1" si="1"/>
        <v>46133</v>
      </c>
      <c r="E11" s="4" t="s">
        <v>25</v>
      </c>
      <c r="F11" s="45" t="s">
        <v>138</v>
      </c>
      <c r="G11" s="43"/>
    </row>
    <row r="12" spans="1:7" s="44" customFormat="1" x14ac:dyDescent="0.35">
      <c r="A12" s="45" t="s">
        <v>139</v>
      </c>
      <c r="B12" s="11">
        <f t="shared" ca="1" si="0"/>
        <v>46119</v>
      </c>
      <c r="C12" s="4">
        <v>14</v>
      </c>
      <c r="D12" s="11">
        <f t="shared" ca="1" si="1"/>
        <v>46133</v>
      </c>
      <c r="E12" s="4" t="s">
        <v>25</v>
      </c>
      <c r="F12" s="45" t="s">
        <v>140</v>
      </c>
      <c r="G12" s="43"/>
    </row>
    <row r="13" spans="1:7" s="44" customFormat="1" x14ac:dyDescent="0.35">
      <c r="A13" s="45" t="s">
        <v>141</v>
      </c>
      <c r="B13" s="11">
        <f t="shared" ca="1" si="0"/>
        <v>46119</v>
      </c>
      <c r="C13" s="4">
        <v>14</v>
      </c>
      <c r="D13" s="11">
        <f t="shared" ca="1" si="1"/>
        <v>46133</v>
      </c>
      <c r="E13" s="4" t="s">
        <v>25</v>
      </c>
      <c r="F13" s="45" t="s">
        <v>142</v>
      </c>
      <c r="G13" s="43"/>
    </row>
    <row r="14" spans="1:7" s="44" customFormat="1" x14ac:dyDescent="0.35">
      <c r="A14" s="47"/>
      <c r="B14" s="46"/>
      <c r="C14" s="46"/>
      <c r="D14" s="46"/>
      <c r="E14" s="46"/>
      <c r="F14" s="46"/>
      <c r="G14" s="43"/>
    </row>
    <row r="15" spans="1:7" s="15" customFormat="1" x14ac:dyDescent="0.35">
      <c r="A15" s="22" t="s">
        <v>0</v>
      </c>
      <c r="C15" s="13"/>
      <c r="D15" s="14"/>
      <c r="E15" s="13"/>
      <c r="F15" s="13"/>
      <c r="G15" s="28"/>
    </row>
    <row r="16" spans="1:7" s="15" customFormat="1" x14ac:dyDescent="0.35">
      <c r="A16" s="24" t="s">
        <v>4</v>
      </c>
      <c r="B16" s="17" t="s">
        <v>63</v>
      </c>
      <c r="C16" s="17" t="s">
        <v>11</v>
      </c>
      <c r="D16" s="17" t="s">
        <v>68</v>
      </c>
      <c r="E16" s="17" t="s">
        <v>6</v>
      </c>
      <c r="F16" s="17" t="s">
        <v>254</v>
      </c>
      <c r="G16" s="29" t="s">
        <v>31</v>
      </c>
    </row>
    <row r="17" spans="1:7" s="15" customFormat="1" x14ac:dyDescent="0.35">
      <c r="A17" s="4">
        <v>1</v>
      </c>
      <c r="B17" s="11">
        <f ca="1">TODAY()</f>
        <v>46119</v>
      </c>
      <c r="C17" s="4">
        <v>14</v>
      </c>
      <c r="D17" s="11">
        <f ca="1">SUM(B17+C17)</f>
        <v>46133</v>
      </c>
      <c r="E17" s="4" t="s">
        <v>25</v>
      </c>
      <c r="F17" s="4" t="s">
        <v>124</v>
      </c>
      <c r="G17" s="30" t="s">
        <v>27</v>
      </c>
    </row>
    <row r="18" spans="1:7" s="15" customFormat="1" x14ac:dyDescent="0.35">
      <c r="A18" s="4">
        <v>2</v>
      </c>
      <c r="B18" s="11">
        <f ca="1">TODAY()</f>
        <v>46119</v>
      </c>
      <c r="C18" s="4">
        <v>14</v>
      </c>
      <c r="D18" s="11">
        <f ca="1">SUM(B18+C18)</f>
        <v>46133</v>
      </c>
      <c r="E18" s="4" t="s">
        <v>25</v>
      </c>
      <c r="F18" s="4" t="s">
        <v>125</v>
      </c>
      <c r="G18" s="30" t="s">
        <v>28</v>
      </c>
    </row>
    <row r="19" spans="1:7" s="15" customFormat="1" x14ac:dyDescent="0.35">
      <c r="A19" s="4">
        <v>3</v>
      </c>
      <c r="B19" s="11">
        <f ca="1">TODAY()</f>
        <v>46119</v>
      </c>
      <c r="C19" s="4">
        <v>14</v>
      </c>
      <c r="D19" s="11">
        <f ca="1">SUM(B19+C19)</f>
        <v>46133</v>
      </c>
      <c r="E19" s="4" t="s">
        <v>25</v>
      </c>
      <c r="F19" s="4" t="s">
        <v>126</v>
      </c>
      <c r="G19" s="30" t="s">
        <v>29</v>
      </c>
    </row>
    <row r="20" spans="1:7" s="15" customFormat="1" x14ac:dyDescent="0.35">
      <c r="A20" s="4">
        <v>4</v>
      </c>
      <c r="B20" s="11">
        <f ca="1">TODAY()</f>
        <v>46119</v>
      </c>
      <c r="C20" s="4">
        <v>14</v>
      </c>
      <c r="D20" s="11">
        <f ca="1">SUM(B20+C20)</f>
        <v>46133</v>
      </c>
      <c r="E20" s="4" t="s">
        <v>25</v>
      </c>
      <c r="F20" s="4" t="s">
        <v>127</v>
      </c>
      <c r="G20" s="30" t="s">
        <v>30</v>
      </c>
    </row>
    <row r="21" spans="1:7" s="15" customFormat="1" x14ac:dyDescent="0.35">
      <c r="A21" s="4">
        <v>5</v>
      </c>
      <c r="B21" s="11">
        <f ca="1">TODAY()</f>
        <v>46119</v>
      </c>
      <c r="C21" s="4">
        <v>14</v>
      </c>
      <c r="D21" s="11">
        <f ca="1">SUM(B21+C21)</f>
        <v>46133</v>
      </c>
      <c r="E21" s="4" t="s">
        <v>25</v>
      </c>
      <c r="F21" s="4" t="s">
        <v>128</v>
      </c>
      <c r="G21" s="30" t="s">
        <v>129</v>
      </c>
    </row>
    <row r="22" spans="1:7" s="15" customFormat="1" x14ac:dyDescent="0.35">
      <c r="D22" s="14"/>
      <c r="E22" s="13"/>
      <c r="F22" s="13"/>
      <c r="G22" s="28"/>
    </row>
    <row r="23" spans="1:7" s="15" customFormat="1" x14ac:dyDescent="0.35">
      <c r="A23" s="64" t="s">
        <v>61</v>
      </c>
      <c r="B23" s="65"/>
      <c r="C23" s="65"/>
      <c r="D23" s="65"/>
      <c r="E23" s="65"/>
      <c r="F23" s="65"/>
      <c r="G23" s="66"/>
    </row>
    <row r="24" spans="1:7" s="15" customFormat="1" x14ac:dyDescent="0.35">
      <c r="A24" s="23" t="s">
        <v>0</v>
      </c>
      <c r="C24" s="13"/>
      <c r="D24" s="14"/>
      <c r="E24" s="13"/>
      <c r="F24" s="13"/>
      <c r="G24" s="28"/>
    </row>
    <row r="25" spans="1:7" s="15" customFormat="1" x14ac:dyDescent="0.35">
      <c r="A25" s="24" t="s">
        <v>2</v>
      </c>
      <c r="B25" s="17" t="s">
        <v>63</v>
      </c>
      <c r="C25" s="17" t="s">
        <v>11</v>
      </c>
      <c r="D25" s="17" t="s">
        <v>68</v>
      </c>
      <c r="E25" s="17" t="s">
        <v>6</v>
      </c>
      <c r="F25" s="17" t="s">
        <v>254</v>
      </c>
      <c r="G25" s="29" t="s">
        <v>32</v>
      </c>
    </row>
    <row r="26" spans="1:7" s="15" customFormat="1" x14ac:dyDescent="0.35">
      <c r="A26" s="4">
        <v>1</v>
      </c>
      <c r="B26" s="38">
        <f t="shared" ref="B26:B32" ca="1" si="2">TODAY()</f>
        <v>46119</v>
      </c>
      <c r="C26" s="4">
        <v>14</v>
      </c>
      <c r="D26" s="11">
        <f ca="1">SUM(B26+C26)</f>
        <v>46133</v>
      </c>
      <c r="E26" s="4" t="s">
        <v>25</v>
      </c>
      <c r="F26" s="4" t="s">
        <v>104</v>
      </c>
      <c r="G26" s="30"/>
    </row>
    <row r="27" spans="1:7" s="15" customFormat="1" x14ac:dyDescent="0.35">
      <c r="A27" s="4">
        <v>2</v>
      </c>
      <c r="B27" s="38">
        <f t="shared" ca="1" si="2"/>
        <v>46119</v>
      </c>
      <c r="C27" s="4">
        <v>14</v>
      </c>
      <c r="D27" s="11">
        <f ca="1">SUM(B27+C27)</f>
        <v>46133</v>
      </c>
      <c r="E27" s="4" t="s">
        <v>25</v>
      </c>
      <c r="F27" s="4" t="s">
        <v>118</v>
      </c>
      <c r="G27" s="30"/>
    </row>
    <row r="28" spans="1:7" s="15" customFormat="1" x14ac:dyDescent="0.35">
      <c r="A28" s="4">
        <v>3</v>
      </c>
      <c r="B28" s="38">
        <f t="shared" ca="1" si="2"/>
        <v>46119</v>
      </c>
      <c r="C28" s="4">
        <v>14</v>
      </c>
      <c r="D28" s="11">
        <f ca="1">SUM(B28+C28)</f>
        <v>46133</v>
      </c>
      <c r="E28" s="4" t="s">
        <v>25</v>
      </c>
      <c r="F28" s="4" t="s">
        <v>119</v>
      </c>
      <c r="G28" s="30"/>
    </row>
    <row r="29" spans="1:7" s="15" customFormat="1" x14ac:dyDescent="0.35">
      <c r="A29" s="4">
        <v>4</v>
      </c>
      <c r="B29" s="38">
        <f t="shared" ca="1" si="2"/>
        <v>46119</v>
      </c>
      <c r="C29" s="4">
        <v>14</v>
      </c>
      <c r="D29" s="11">
        <f ca="1">SUM(B29+C29)</f>
        <v>46133</v>
      </c>
      <c r="E29" s="4" t="s">
        <v>25</v>
      </c>
      <c r="F29" s="4" t="s">
        <v>103</v>
      </c>
      <c r="G29" s="30"/>
    </row>
    <row r="30" spans="1:7" s="15" customFormat="1" x14ac:dyDescent="0.35">
      <c r="A30" s="4">
        <v>5</v>
      </c>
      <c r="B30" s="38">
        <f t="shared" ca="1" si="2"/>
        <v>46119</v>
      </c>
      <c r="C30" s="4">
        <v>14</v>
      </c>
      <c r="D30" s="11">
        <f ca="1">SUM(B30+C30)</f>
        <v>46133</v>
      </c>
      <c r="E30" s="4" t="s">
        <v>25</v>
      </c>
      <c r="F30" s="4" t="s">
        <v>120</v>
      </c>
      <c r="G30" s="30"/>
    </row>
    <row r="31" spans="1:7" s="15" customFormat="1" x14ac:dyDescent="0.35">
      <c r="A31" s="4">
        <v>6</v>
      </c>
      <c r="B31" s="38">
        <f t="shared" ref="B31:B40" ca="1" si="3">TODAY()</f>
        <v>46119</v>
      </c>
      <c r="C31" s="4">
        <v>14</v>
      </c>
      <c r="D31" s="11">
        <f t="shared" ref="D31:D40" ca="1" si="4">SUM(B31+C31)</f>
        <v>46133</v>
      </c>
      <c r="E31" s="4" t="s">
        <v>25</v>
      </c>
      <c r="F31" s="4" t="s">
        <v>121</v>
      </c>
      <c r="G31" s="30"/>
    </row>
    <row r="32" spans="1:7" s="15" customFormat="1" x14ac:dyDescent="0.35">
      <c r="A32" s="4">
        <v>7</v>
      </c>
      <c r="B32" s="38">
        <f t="shared" ca="1" si="2"/>
        <v>46119</v>
      </c>
      <c r="C32" s="4">
        <v>14</v>
      </c>
      <c r="D32" s="11">
        <f t="shared" ca="1" si="4"/>
        <v>46133</v>
      </c>
      <c r="E32" s="4" t="s">
        <v>25</v>
      </c>
      <c r="F32" s="4" t="s">
        <v>122</v>
      </c>
      <c r="G32" s="30"/>
    </row>
    <row r="33" spans="1:7" s="15" customFormat="1" x14ac:dyDescent="0.35">
      <c r="A33" s="4">
        <v>8</v>
      </c>
      <c r="B33" s="38">
        <f t="shared" ca="1" si="3"/>
        <v>46119</v>
      </c>
      <c r="C33" s="4">
        <v>14</v>
      </c>
      <c r="D33" s="11">
        <f t="shared" ca="1" si="4"/>
        <v>46133</v>
      </c>
      <c r="E33" s="4" t="s">
        <v>25</v>
      </c>
      <c r="F33" s="4" t="s">
        <v>123</v>
      </c>
      <c r="G33" s="30"/>
    </row>
    <row r="34" spans="1:7" s="15" customFormat="1" x14ac:dyDescent="0.35">
      <c r="A34" s="4">
        <v>9</v>
      </c>
      <c r="B34" s="38">
        <f t="shared" ca="1" si="3"/>
        <v>46119</v>
      </c>
      <c r="C34" s="4">
        <v>14</v>
      </c>
      <c r="D34" s="11">
        <f t="shared" ca="1" si="4"/>
        <v>46133</v>
      </c>
      <c r="E34" s="4" t="s">
        <v>25</v>
      </c>
      <c r="F34" s="4" t="s">
        <v>115</v>
      </c>
      <c r="G34" s="30"/>
    </row>
    <row r="35" spans="1:7" s="15" customFormat="1" x14ac:dyDescent="0.35">
      <c r="A35" s="4">
        <v>10</v>
      </c>
      <c r="B35" s="38">
        <f t="shared" ca="1" si="3"/>
        <v>46119</v>
      </c>
      <c r="C35" s="4">
        <v>14</v>
      </c>
      <c r="D35" s="11">
        <f t="shared" ca="1" si="4"/>
        <v>46133</v>
      </c>
      <c r="E35" s="4" t="s">
        <v>25</v>
      </c>
      <c r="F35" s="4" t="s">
        <v>111</v>
      </c>
      <c r="G35" s="30"/>
    </row>
    <row r="36" spans="1:7" s="15" customFormat="1" x14ac:dyDescent="0.35">
      <c r="A36" s="4">
        <v>11</v>
      </c>
      <c r="B36" s="38">
        <f t="shared" ca="1" si="3"/>
        <v>46119</v>
      </c>
      <c r="C36" s="4">
        <v>14</v>
      </c>
      <c r="D36" s="11">
        <f t="shared" ca="1" si="4"/>
        <v>46133</v>
      </c>
      <c r="E36" s="4" t="s">
        <v>25</v>
      </c>
      <c r="F36" s="4" t="s">
        <v>112</v>
      </c>
      <c r="G36" s="30"/>
    </row>
    <row r="37" spans="1:7" s="15" customFormat="1" x14ac:dyDescent="0.35">
      <c r="A37" s="4">
        <v>12</v>
      </c>
      <c r="B37" s="38">
        <f t="shared" ca="1" si="3"/>
        <v>46119</v>
      </c>
      <c r="C37" s="4">
        <v>14</v>
      </c>
      <c r="D37" s="11">
        <f t="shared" ca="1" si="4"/>
        <v>46133</v>
      </c>
      <c r="E37" s="4" t="s">
        <v>25</v>
      </c>
      <c r="F37" s="4" t="s">
        <v>113</v>
      </c>
      <c r="G37" s="30"/>
    </row>
    <row r="38" spans="1:7" s="15" customFormat="1" x14ac:dyDescent="0.35">
      <c r="A38" s="4">
        <v>13</v>
      </c>
      <c r="B38" s="38">
        <f t="shared" ca="1" si="3"/>
        <v>46119</v>
      </c>
      <c r="C38" s="4">
        <v>14</v>
      </c>
      <c r="D38" s="11">
        <f t="shared" ca="1" si="4"/>
        <v>46133</v>
      </c>
      <c r="E38" s="4" t="s">
        <v>25</v>
      </c>
      <c r="F38" s="4" t="s">
        <v>114</v>
      </c>
      <c r="G38" s="30"/>
    </row>
    <row r="39" spans="1:7" s="15" customFormat="1" x14ac:dyDescent="0.35">
      <c r="A39" s="4">
        <v>14</v>
      </c>
      <c r="B39" s="38">
        <f t="shared" ca="1" si="3"/>
        <v>46119</v>
      </c>
      <c r="C39" s="4">
        <v>14</v>
      </c>
      <c r="D39" s="11">
        <f t="shared" ca="1" si="4"/>
        <v>46133</v>
      </c>
      <c r="E39" s="4" t="s">
        <v>25</v>
      </c>
      <c r="F39" s="4" t="s">
        <v>116</v>
      </c>
      <c r="G39" s="30"/>
    </row>
    <row r="40" spans="1:7" s="15" customFormat="1" x14ac:dyDescent="0.35">
      <c r="A40" s="4">
        <v>15</v>
      </c>
      <c r="B40" s="42">
        <f t="shared" ca="1" si="3"/>
        <v>46119</v>
      </c>
      <c r="C40" s="4">
        <v>14</v>
      </c>
      <c r="D40" s="11">
        <f t="shared" ca="1" si="4"/>
        <v>46133</v>
      </c>
      <c r="E40" s="4" t="s">
        <v>25</v>
      </c>
      <c r="F40" s="4" t="s">
        <v>117</v>
      </c>
      <c r="G40" s="30"/>
    </row>
    <row r="41" spans="1:7" s="15" customFormat="1" x14ac:dyDescent="0.35">
      <c r="D41" s="14"/>
      <c r="E41" s="13"/>
      <c r="F41" s="13"/>
      <c r="G41" s="28"/>
    </row>
    <row r="42" spans="1:7" s="15" customFormat="1" x14ac:dyDescent="0.35">
      <c r="A42" s="36" t="s">
        <v>1</v>
      </c>
      <c r="D42" s="14"/>
      <c r="E42" s="13"/>
      <c r="F42" s="13"/>
      <c r="G42" s="28"/>
    </row>
    <row r="43" spans="1:7" s="15" customFormat="1" x14ac:dyDescent="0.35">
      <c r="A43" s="67" t="s">
        <v>64</v>
      </c>
      <c r="B43" s="68"/>
      <c r="C43" s="68"/>
      <c r="D43" s="68"/>
      <c r="E43" s="68"/>
      <c r="F43" s="68"/>
      <c r="G43" s="69"/>
    </row>
    <row r="44" spans="1:7" s="15" customFormat="1" x14ac:dyDescent="0.35">
      <c r="A44" s="31" t="s">
        <v>1</v>
      </c>
      <c r="D44" s="14"/>
      <c r="E44" s="13"/>
      <c r="F44" s="13"/>
      <c r="G44" s="28"/>
    </row>
    <row r="45" spans="1:7" s="15" customFormat="1" x14ac:dyDescent="0.35">
      <c r="A45" s="58" t="s">
        <v>9</v>
      </c>
      <c r="B45" s="58"/>
      <c r="C45" s="58"/>
      <c r="D45" s="58"/>
      <c r="E45" s="58"/>
      <c r="F45" s="58"/>
      <c r="G45" s="58"/>
    </row>
    <row r="46" spans="1:7" s="15" customFormat="1" x14ac:dyDescent="0.35">
      <c r="A46" s="24" t="s">
        <v>21</v>
      </c>
      <c r="B46" s="17" t="s">
        <v>63</v>
      </c>
      <c r="C46" s="17" t="s">
        <v>11</v>
      </c>
      <c r="D46" s="17" t="s">
        <v>68</v>
      </c>
      <c r="E46" s="17" t="s">
        <v>6</v>
      </c>
      <c r="F46" s="51" t="s">
        <v>7</v>
      </c>
      <c r="G46" s="52"/>
    </row>
    <row r="47" spans="1:7" s="15" customFormat="1" x14ac:dyDescent="0.35">
      <c r="A47" s="26"/>
      <c r="B47" s="38">
        <f ca="1">TODAY()</f>
        <v>46119</v>
      </c>
      <c r="C47" s="39">
        <v>14</v>
      </c>
      <c r="D47" s="40">
        <f ca="1">SUM(B47+C47)</f>
        <v>46133</v>
      </c>
      <c r="E47" s="39" t="s">
        <v>25</v>
      </c>
      <c r="F47" s="59"/>
      <c r="G47" s="60"/>
    </row>
    <row r="48" spans="1:7" x14ac:dyDescent="0.35">
      <c r="A48" s="24" t="s">
        <v>22</v>
      </c>
      <c r="B48" s="17" t="s">
        <v>63</v>
      </c>
      <c r="C48" s="17" t="s">
        <v>11</v>
      </c>
      <c r="D48" s="17" t="s">
        <v>68</v>
      </c>
      <c r="E48" s="17" t="s">
        <v>6</v>
      </c>
      <c r="F48" s="51" t="s">
        <v>7</v>
      </c>
      <c r="G48" s="52"/>
    </row>
    <row r="49" spans="1:7" x14ac:dyDescent="0.35">
      <c r="A49" s="4"/>
      <c r="B49" s="42">
        <f ca="1">TODAY()</f>
        <v>46119</v>
      </c>
      <c r="C49" s="12">
        <v>14</v>
      </c>
      <c r="D49" s="10">
        <f ca="1">SUM(B49+C49)</f>
        <v>46133</v>
      </c>
      <c r="E49" s="41" t="s">
        <v>25</v>
      </c>
      <c r="F49" s="53"/>
      <c r="G49" s="54"/>
    </row>
    <row r="50" spans="1:7" x14ac:dyDescent="0.35">
      <c r="A50" s="24" t="s">
        <v>23</v>
      </c>
      <c r="B50" s="37" t="s">
        <v>63</v>
      </c>
      <c r="C50" s="37" t="s">
        <v>11</v>
      </c>
      <c r="D50" s="17" t="s">
        <v>68</v>
      </c>
      <c r="E50" s="37" t="s">
        <v>6</v>
      </c>
      <c r="F50" s="51" t="s">
        <v>7</v>
      </c>
      <c r="G50" s="52"/>
    </row>
    <row r="51" spans="1:7" x14ac:dyDescent="0.35">
      <c r="A51" s="4"/>
      <c r="B51" s="38">
        <f ca="1">TODAY()</f>
        <v>46119</v>
      </c>
      <c r="C51" s="12">
        <v>14</v>
      </c>
      <c r="D51" s="10">
        <f ca="1">SUM(B51+C51)</f>
        <v>46133</v>
      </c>
      <c r="E51" s="41" t="s">
        <v>25</v>
      </c>
      <c r="F51" s="53"/>
      <c r="G51" s="54"/>
    </row>
    <row r="52" spans="1:7" s="15" customFormat="1" x14ac:dyDescent="0.35">
      <c r="A52" s="3" t="s">
        <v>65</v>
      </c>
      <c r="B52" s="32" t="s">
        <v>63</v>
      </c>
      <c r="C52" s="17" t="s">
        <v>11</v>
      </c>
      <c r="D52" s="17" t="s">
        <v>68</v>
      </c>
      <c r="E52" s="17" t="s">
        <v>6</v>
      </c>
      <c r="F52" s="51" t="s">
        <v>7</v>
      </c>
      <c r="G52" s="52"/>
    </row>
    <row r="53" spans="1:7" s="15" customFormat="1" x14ac:dyDescent="0.35">
      <c r="A53" s="26"/>
      <c r="B53" s="38">
        <f ca="1">TODAY()</f>
        <v>46119</v>
      </c>
      <c r="C53" s="4">
        <v>14</v>
      </c>
      <c r="D53" s="11">
        <f ca="1">SUM(B53+C53)</f>
        <v>46133</v>
      </c>
      <c r="E53" s="4" t="s">
        <v>25</v>
      </c>
      <c r="F53" s="55"/>
      <c r="G53" s="56"/>
    </row>
    <row r="54" spans="1:7" x14ac:dyDescent="0.35">
      <c r="A54" s="35" t="s">
        <v>66</v>
      </c>
      <c r="B54" s="33" t="s">
        <v>63</v>
      </c>
      <c r="C54" s="33" t="s">
        <v>11</v>
      </c>
      <c r="D54" s="34" t="s">
        <v>68</v>
      </c>
      <c r="E54" s="33" t="s">
        <v>6</v>
      </c>
      <c r="F54" s="51" t="s">
        <v>7</v>
      </c>
      <c r="G54" s="52"/>
    </row>
    <row r="55" spans="1:7" x14ac:dyDescent="0.35">
      <c r="A55" s="26"/>
      <c r="B55" s="19">
        <f ca="1">TODAY()</f>
        <v>46119</v>
      </c>
      <c r="C55" s="4">
        <v>14</v>
      </c>
      <c r="D55" s="11">
        <f ca="1">SUM(B55+C55)</f>
        <v>46133</v>
      </c>
      <c r="E55" s="4" t="s">
        <v>25</v>
      </c>
      <c r="F55" s="55"/>
      <c r="G55" s="56"/>
    </row>
    <row r="56" spans="1:7" x14ac:dyDescent="0.35">
      <c r="A56" s="35" t="s">
        <v>67</v>
      </c>
      <c r="B56" s="33" t="s">
        <v>63</v>
      </c>
      <c r="C56" s="33" t="s">
        <v>11</v>
      </c>
      <c r="D56" s="34" t="s">
        <v>68</v>
      </c>
      <c r="E56" s="33" t="s">
        <v>6</v>
      </c>
      <c r="F56" s="51" t="s">
        <v>7</v>
      </c>
      <c r="G56" s="52"/>
    </row>
    <row r="57" spans="1:7" x14ac:dyDescent="0.35">
      <c r="A57" s="26"/>
      <c r="B57" s="19">
        <f ca="1">TODAY()</f>
        <v>46119</v>
      </c>
      <c r="C57" s="4">
        <v>14</v>
      </c>
      <c r="D57" s="11">
        <f ca="1">SUM(B57+C57)</f>
        <v>46133</v>
      </c>
      <c r="E57" s="4" t="s">
        <v>25</v>
      </c>
      <c r="F57" s="55"/>
      <c r="G57" s="56"/>
    </row>
    <row r="59" spans="1:7" s="15" customFormat="1" x14ac:dyDescent="0.35">
      <c r="A59" s="1"/>
      <c r="B59" s="1"/>
      <c r="C59" s="2"/>
      <c r="D59" s="18"/>
      <c r="E59" s="2"/>
      <c r="F59" s="2"/>
      <c r="G59" s="27"/>
    </row>
    <row r="60" spans="1:7" s="15" customFormat="1" x14ac:dyDescent="0.35">
      <c r="A60" s="1"/>
      <c r="B60" s="1"/>
      <c r="C60" s="2"/>
      <c r="D60" s="18"/>
      <c r="E60" s="2"/>
      <c r="F60" s="2"/>
      <c r="G60" s="27"/>
    </row>
    <row r="61" spans="1:7" s="15" customFormat="1" x14ac:dyDescent="0.35">
      <c r="A61" s="1"/>
      <c r="B61" s="1"/>
      <c r="C61" s="2"/>
      <c r="D61" s="18"/>
      <c r="E61" s="2"/>
      <c r="F61" s="2"/>
      <c r="G61" s="27"/>
    </row>
    <row r="62" spans="1:7" s="15" customFormat="1" x14ac:dyDescent="0.35">
      <c r="A62" s="1"/>
      <c r="B62" s="1"/>
      <c r="C62" s="2"/>
      <c r="D62" s="18"/>
      <c r="E62" s="2"/>
      <c r="F62" s="2"/>
      <c r="G62" s="27"/>
    </row>
    <row r="63" spans="1:7" s="15" customFormat="1" x14ac:dyDescent="0.35">
      <c r="A63" s="1"/>
      <c r="B63" s="1"/>
      <c r="C63" s="2"/>
      <c r="D63" s="18"/>
      <c r="E63" s="2"/>
      <c r="F63" s="2"/>
      <c r="G63" s="27"/>
    </row>
    <row r="64" spans="1:7" s="15" customFormat="1" x14ac:dyDescent="0.35">
      <c r="A64" s="1"/>
      <c r="B64" s="1"/>
      <c r="C64" s="2"/>
      <c r="D64" s="18"/>
      <c r="E64" s="2"/>
      <c r="F64" s="2"/>
      <c r="G64" s="27"/>
    </row>
    <row r="65" spans="1:7" s="15" customFormat="1" x14ac:dyDescent="0.35">
      <c r="A65" s="1"/>
      <c r="B65" s="1"/>
      <c r="C65" s="2"/>
      <c r="D65" s="18"/>
      <c r="E65" s="2"/>
      <c r="F65" s="2"/>
      <c r="G65" s="27"/>
    </row>
    <row r="66" spans="1:7" s="15" customFormat="1" x14ac:dyDescent="0.35">
      <c r="A66" s="1"/>
      <c r="B66" s="1"/>
      <c r="C66" s="2"/>
      <c r="D66" s="18"/>
      <c r="E66" s="2"/>
      <c r="F66" s="2"/>
      <c r="G66" s="27"/>
    </row>
    <row r="67" spans="1:7" s="15" customFormat="1" x14ac:dyDescent="0.35">
      <c r="A67" s="1"/>
      <c r="B67" s="1"/>
      <c r="C67" s="2"/>
      <c r="D67" s="18"/>
      <c r="E67" s="2"/>
      <c r="F67" s="2"/>
      <c r="G67" s="27"/>
    </row>
    <row r="68" spans="1:7" s="15" customFormat="1" x14ac:dyDescent="0.35">
      <c r="A68" s="1"/>
      <c r="B68" s="1"/>
      <c r="C68" s="2"/>
      <c r="D68" s="18"/>
      <c r="E68" s="2"/>
      <c r="F68" s="2"/>
      <c r="G68" s="27"/>
    </row>
    <row r="69" spans="1:7" s="15" customFormat="1" x14ac:dyDescent="0.35">
      <c r="A69" s="1"/>
      <c r="B69" s="1"/>
      <c r="C69" s="2"/>
      <c r="D69" s="18"/>
      <c r="E69" s="2"/>
      <c r="F69" s="2"/>
      <c r="G69" s="27"/>
    </row>
    <row r="70" spans="1:7" s="15" customFormat="1" x14ac:dyDescent="0.35">
      <c r="A70" s="1"/>
      <c r="B70" s="1"/>
      <c r="C70" s="2"/>
      <c r="D70" s="18"/>
      <c r="E70" s="2"/>
      <c r="F70" s="2"/>
      <c r="G70" s="27"/>
    </row>
    <row r="71" spans="1:7" s="15" customFormat="1" x14ac:dyDescent="0.35">
      <c r="A71" s="1"/>
      <c r="B71" s="1"/>
      <c r="C71" s="2"/>
      <c r="D71" s="18"/>
      <c r="E71" s="2"/>
      <c r="F71" s="2"/>
      <c r="G71" s="27"/>
    </row>
    <row r="72" spans="1:7" s="15" customFormat="1" x14ac:dyDescent="0.35">
      <c r="A72" s="1"/>
      <c r="B72" s="1"/>
      <c r="C72" s="2"/>
      <c r="D72" s="18"/>
      <c r="E72" s="2"/>
      <c r="F72" s="2"/>
      <c r="G72" s="27"/>
    </row>
    <row r="73" spans="1:7" s="15" customFormat="1" x14ac:dyDescent="0.35">
      <c r="A73" s="1"/>
      <c r="B73" s="1"/>
      <c r="C73" s="2"/>
      <c r="D73" s="18"/>
      <c r="E73" s="2"/>
      <c r="F73" s="2"/>
      <c r="G73" s="27"/>
    </row>
    <row r="74" spans="1:7" s="15" customFormat="1" x14ac:dyDescent="0.35">
      <c r="A74" s="1"/>
      <c r="B74" s="1"/>
      <c r="C74" s="2"/>
      <c r="D74" s="18"/>
      <c r="E74" s="2"/>
      <c r="F74" s="2"/>
      <c r="G74" s="27"/>
    </row>
    <row r="75" spans="1:7" s="15" customFormat="1" x14ac:dyDescent="0.35">
      <c r="A75" s="1"/>
      <c r="B75" s="1"/>
      <c r="C75" s="2"/>
      <c r="D75" s="18"/>
      <c r="E75" s="2"/>
      <c r="F75" s="2"/>
      <c r="G75" s="27"/>
    </row>
    <row r="76" spans="1:7" s="15" customFormat="1" x14ac:dyDescent="0.35">
      <c r="A76" s="1"/>
      <c r="B76" s="1"/>
      <c r="C76" s="2"/>
      <c r="D76" s="18"/>
      <c r="E76" s="2"/>
      <c r="F76" s="2"/>
      <c r="G76" s="27"/>
    </row>
    <row r="77" spans="1:7" s="15" customFormat="1" x14ac:dyDescent="0.35">
      <c r="A77" s="1"/>
      <c r="B77" s="1"/>
      <c r="C77" s="2"/>
      <c r="D77" s="18"/>
      <c r="E77" s="2"/>
      <c r="F77" s="2"/>
      <c r="G77" s="27"/>
    </row>
    <row r="78" spans="1:7" s="15" customFormat="1" x14ac:dyDescent="0.35">
      <c r="A78" s="1"/>
      <c r="B78" s="1"/>
      <c r="C78" s="2"/>
      <c r="D78" s="18"/>
      <c r="E78" s="2"/>
      <c r="F78" s="2"/>
      <c r="G78" s="27"/>
    </row>
    <row r="79" spans="1:7" s="15" customFormat="1" x14ac:dyDescent="0.35">
      <c r="A79" s="1"/>
      <c r="B79" s="1"/>
      <c r="C79" s="2"/>
      <c r="D79" s="18"/>
      <c r="E79" s="2"/>
      <c r="F79" s="2"/>
      <c r="G79" s="27"/>
    </row>
    <row r="80" spans="1:7" s="15" customFormat="1" x14ac:dyDescent="0.35">
      <c r="A80" s="1"/>
      <c r="B80" s="1"/>
      <c r="C80" s="2"/>
      <c r="D80" s="18"/>
      <c r="E80" s="2"/>
      <c r="F80" s="2"/>
      <c r="G80" s="27"/>
    </row>
    <row r="81" spans="1:7" s="15" customFormat="1" x14ac:dyDescent="0.35">
      <c r="A81" s="1"/>
      <c r="B81" s="1"/>
      <c r="C81" s="2"/>
      <c r="D81" s="18"/>
      <c r="E81" s="2"/>
      <c r="F81" s="2"/>
      <c r="G81" s="27"/>
    </row>
    <row r="82" spans="1:7" s="15" customFormat="1" x14ac:dyDescent="0.35">
      <c r="A82" s="1"/>
      <c r="B82" s="1"/>
      <c r="C82" s="2"/>
      <c r="D82" s="18"/>
      <c r="E82" s="2"/>
      <c r="F82" s="2"/>
      <c r="G82" s="27"/>
    </row>
    <row r="83" spans="1:7" s="15" customFormat="1" x14ac:dyDescent="0.35">
      <c r="A83" s="1"/>
      <c r="B83" s="1"/>
      <c r="C83" s="2"/>
      <c r="D83" s="18"/>
      <c r="E83" s="2"/>
      <c r="F83" s="2"/>
      <c r="G83" s="27"/>
    </row>
    <row r="84" spans="1:7" s="15" customFormat="1" x14ac:dyDescent="0.35">
      <c r="A84" s="1"/>
      <c r="B84" s="1"/>
      <c r="C84" s="2"/>
      <c r="D84" s="18"/>
      <c r="E84" s="2"/>
      <c r="F84" s="2"/>
      <c r="G84" s="27"/>
    </row>
    <row r="85" spans="1:7" s="15" customFormat="1" x14ac:dyDescent="0.35">
      <c r="A85" s="1"/>
      <c r="B85" s="1"/>
      <c r="C85" s="2"/>
      <c r="D85" s="18"/>
      <c r="E85" s="2"/>
      <c r="F85" s="2"/>
      <c r="G85" s="27"/>
    </row>
    <row r="86" spans="1:7" s="15" customFormat="1" x14ac:dyDescent="0.35">
      <c r="A86" s="1"/>
      <c r="B86" s="1"/>
      <c r="C86" s="2"/>
      <c r="D86" s="18"/>
      <c r="E86" s="2"/>
      <c r="F86" s="2"/>
      <c r="G86" s="27"/>
    </row>
    <row r="87" spans="1:7" s="15" customFormat="1" x14ac:dyDescent="0.35">
      <c r="A87" s="1"/>
      <c r="B87" s="1"/>
      <c r="C87" s="2"/>
      <c r="D87" s="18"/>
      <c r="E87" s="2"/>
      <c r="F87" s="2"/>
      <c r="G87" s="27"/>
    </row>
    <row r="88" spans="1:7" s="15" customFormat="1" x14ac:dyDescent="0.35">
      <c r="A88" s="1"/>
      <c r="B88" s="1"/>
      <c r="C88" s="2"/>
      <c r="D88" s="18"/>
      <c r="E88" s="2"/>
      <c r="F88" s="2"/>
      <c r="G88" s="27"/>
    </row>
    <row r="89" spans="1:7" s="15" customFormat="1" x14ac:dyDescent="0.35">
      <c r="A89" s="1"/>
      <c r="B89" s="1"/>
      <c r="C89" s="2"/>
      <c r="D89" s="18"/>
      <c r="E89" s="2"/>
      <c r="F89" s="2"/>
      <c r="G89" s="27"/>
    </row>
    <row r="90" spans="1:7" s="15" customFormat="1" x14ac:dyDescent="0.35">
      <c r="A90" s="1"/>
      <c r="B90" s="1"/>
      <c r="C90" s="2"/>
      <c r="D90" s="18"/>
      <c r="E90" s="2"/>
      <c r="F90" s="2"/>
      <c r="G90" s="27"/>
    </row>
    <row r="91" spans="1:7" s="15" customFormat="1" x14ac:dyDescent="0.35">
      <c r="A91" s="1"/>
      <c r="B91" s="1"/>
      <c r="C91" s="2"/>
      <c r="D91" s="18"/>
      <c r="E91" s="2"/>
      <c r="F91" s="2"/>
      <c r="G91" s="27"/>
    </row>
    <row r="92" spans="1:7" s="15" customFormat="1" x14ac:dyDescent="0.35">
      <c r="A92" s="1"/>
      <c r="B92" s="1"/>
      <c r="C92" s="2"/>
      <c r="D92" s="18"/>
      <c r="E92" s="2"/>
      <c r="F92" s="2"/>
      <c r="G92" s="27"/>
    </row>
    <row r="93" spans="1:7" s="15" customFormat="1" x14ac:dyDescent="0.35">
      <c r="A93" s="1"/>
      <c r="B93" s="1"/>
      <c r="C93" s="2"/>
      <c r="D93" s="18"/>
      <c r="E93" s="2"/>
      <c r="F93" s="2"/>
      <c r="G93" s="27"/>
    </row>
    <row r="94" spans="1:7" s="15" customFormat="1" x14ac:dyDescent="0.35">
      <c r="A94" s="1"/>
      <c r="B94" s="1"/>
      <c r="C94" s="2"/>
      <c r="D94" s="18"/>
      <c r="E94" s="2"/>
      <c r="F94" s="2"/>
      <c r="G94" s="27"/>
    </row>
    <row r="95" spans="1:7" s="15" customFormat="1" x14ac:dyDescent="0.35">
      <c r="A95" s="1"/>
      <c r="B95" s="1"/>
      <c r="C95" s="2"/>
      <c r="D95" s="18"/>
      <c r="E95" s="2"/>
      <c r="F95" s="2"/>
      <c r="G95" s="27"/>
    </row>
    <row r="96" spans="1:7" s="15" customFormat="1" x14ac:dyDescent="0.35">
      <c r="A96" s="1"/>
      <c r="B96" s="1"/>
      <c r="C96" s="2"/>
      <c r="D96" s="18"/>
      <c r="E96" s="2"/>
      <c r="F96" s="2"/>
      <c r="G96" s="27"/>
    </row>
    <row r="97" spans="1:7" s="15" customFormat="1" x14ac:dyDescent="0.35">
      <c r="A97" s="1"/>
      <c r="B97" s="1"/>
      <c r="C97" s="2"/>
      <c r="D97" s="18"/>
      <c r="E97" s="2"/>
      <c r="F97" s="2"/>
      <c r="G97" s="27"/>
    </row>
    <row r="98" spans="1:7" s="15" customFormat="1" x14ac:dyDescent="0.35">
      <c r="A98" s="1"/>
      <c r="B98" s="1"/>
      <c r="C98" s="2"/>
      <c r="D98" s="18"/>
      <c r="E98" s="2"/>
      <c r="F98" s="2"/>
      <c r="G98" s="27"/>
    </row>
    <row r="99" spans="1:7" s="15" customFormat="1" x14ac:dyDescent="0.35">
      <c r="A99" s="1"/>
      <c r="B99" s="1"/>
      <c r="C99" s="2"/>
      <c r="D99" s="18"/>
      <c r="E99" s="2"/>
      <c r="F99" s="2"/>
      <c r="G99" s="27"/>
    </row>
    <row r="100" spans="1:7" s="15" customFormat="1" x14ac:dyDescent="0.35">
      <c r="A100" s="1"/>
      <c r="B100" s="1"/>
      <c r="C100" s="2"/>
      <c r="D100" s="18"/>
      <c r="E100" s="2"/>
      <c r="F100" s="2"/>
      <c r="G100" s="27"/>
    </row>
    <row r="101" spans="1:7" s="15" customFormat="1" x14ac:dyDescent="0.35">
      <c r="A101" s="1"/>
      <c r="B101" s="1"/>
      <c r="C101" s="2"/>
      <c r="D101" s="18"/>
      <c r="E101" s="2"/>
      <c r="F101" s="2"/>
      <c r="G101" s="27"/>
    </row>
  </sheetData>
  <mergeCells count="18">
    <mergeCell ref="A4:G4"/>
    <mergeCell ref="A45:G45"/>
    <mergeCell ref="F46:G46"/>
    <mergeCell ref="F47:G47"/>
    <mergeCell ref="F5:G5"/>
    <mergeCell ref="F6:G6"/>
    <mergeCell ref="A23:G23"/>
    <mergeCell ref="A43:G43"/>
    <mergeCell ref="F56:G56"/>
    <mergeCell ref="F57:G57"/>
    <mergeCell ref="F55:G55"/>
    <mergeCell ref="F54:G54"/>
    <mergeCell ref="F53:G53"/>
    <mergeCell ref="F52:G52"/>
    <mergeCell ref="F50:G50"/>
    <mergeCell ref="F51:G51"/>
    <mergeCell ref="F49:G49"/>
    <mergeCell ref="F48:G48"/>
  </mergeCells>
  <dataValidations disablePrompts="1" count="2">
    <dataValidation type="list" allowBlank="1" showInputMessage="1" showErrorMessage="1" sqref="B3" xr:uid="{0F390A0A-D16C-4DC8-84C2-1B6F156DE625}">
      <formula1>"Yellow Stripe,Yellow Belt"</formula1>
    </dataValidation>
    <dataValidation type="list" allowBlank="1" showInputMessage="1" showErrorMessage="1" sqref="E46:E47 E51 E17:E21 E49 E55 E53 E57 E26:E40 E9:E13" xr:uid="{EFC928D6-3EE9-4D4D-A10B-9464E7E71135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DA27-1FDF-480C-94DC-47C605FA5B82}">
  <dimension ref="A1"/>
  <sheetViews>
    <sheetView workbookViewId="0">
      <selection activeCell="O13" sqref="O1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1F4D-DE38-4AD0-A208-310A6A04E531}">
  <dimension ref="A1:C42"/>
  <sheetViews>
    <sheetView topLeftCell="A21" workbookViewId="0">
      <selection activeCell="B15" sqref="B15"/>
    </sheetView>
  </sheetViews>
  <sheetFormatPr defaultRowHeight="14.5" x14ac:dyDescent="0.35"/>
  <cols>
    <col min="1" max="1" width="22.1796875" bestFit="1" customWidth="1"/>
    <col min="2" max="2" width="141.1796875" bestFit="1" customWidth="1"/>
    <col min="3" max="4" width="14.36328125" customWidth="1"/>
    <col min="5" max="5" width="141.1796875" bestFit="1" customWidth="1"/>
  </cols>
  <sheetData>
    <row r="1" spans="1:3" s="50" customFormat="1" ht="18" x14ac:dyDescent="0.4">
      <c r="A1" s="50" t="s">
        <v>6</v>
      </c>
    </row>
    <row r="2" spans="1:3" s="72" customFormat="1" ht="15.5" x14ac:dyDescent="0.35">
      <c r="A2" s="12" t="s">
        <v>10</v>
      </c>
    </row>
    <row r="3" spans="1:3" s="72" customFormat="1" ht="15.5" x14ac:dyDescent="0.35">
      <c r="A3" s="12" t="s">
        <v>26</v>
      </c>
    </row>
    <row r="4" spans="1:3" s="72" customFormat="1" ht="15.5" x14ac:dyDescent="0.35">
      <c r="A4" s="12" t="s">
        <v>306</v>
      </c>
    </row>
    <row r="5" spans="1:3" s="72" customFormat="1" ht="15.5" x14ac:dyDescent="0.35">
      <c r="A5" s="12" t="s">
        <v>24</v>
      </c>
    </row>
    <row r="6" spans="1:3" s="72" customFormat="1" ht="15.5" x14ac:dyDescent="0.35">
      <c r="A6" s="12" t="s">
        <v>25</v>
      </c>
    </row>
    <row r="7" spans="1:3" s="72" customFormat="1" x14ac:dyDescent="0.35"/>
    <row r="8" spans="1:3" s="15" customFormat="1" ht="18" x14ac:dyDescent="0.4">
      <c r="A8" s="50" t="s">
        <v>8</v>
      </c>
      <c r="B8" s="50" t="s">
        <v>351</v>
      </c>
      <c r="C8" s="50" t="s">
        <v>360</v>
      </c>
    </row>
    <row r="9" spans="1:3" s="15" customFormat="1" ht="15.5" x14ac:dyDescent="0.35">
      <c r="A9" s="75">
        <v>1</v>
      </c>
      <c r="B9" s="74" t="s">
        <v>352</v>
      </c>
      <c r="C9" s="77"/>
    </row>
    <row r="10" spans="1:3" s="72" customFormat="1" x14ac:dyDescent="0.35">
      <c r="A10" s="75">
        <v>2</v>
      </c>
      <c r="B10" s="74" t="s">
        <v>3</v>
      </c>
      <c r="C10" s="77"/>
    </row>
    <row r="11" spans="1:3" s="72" customFormat="1" x14ac:dyDescent="0.35">
      <c r="A11" s="75">
        <v>3</v>
      </c>
      <c r="B11" s="74" t="s">
        <v>13</v>
      </c>
      <c r="C11" s="77"/>
    </row>
    <row r="12" spans="1:3" s="72" customFormat="1" x14ac:dyDescent="0.35">
      <c r="A12" s="75">
        <v>4</v>
      </c>
      <c r="B12" s="74" t="s">
        <v>15</v>
      </c>
      <c r="C12" s="77"/>
    </row>
    <row r="13" spans="1:3" s="72" customFormat="1" x14ac:dyDescent="0.35">
      <c r="A13" s="75">
        <v>5</v>
      </c>
      <c r="B13" s="74" t="s">
        <v>14</v>
      </c>
      <c r="C13" s="77"/>
    </row>
    <row r="14" spans="1:3" s="72" customFormat="1" x14ac:dyDescent="0.35">
      <c r="A14" s="75">
        <v>6</v>
      </c>
      <c r="B14" s="74" t="s">
        <v>16</v>
      </c>
      <c r="C14" s="77"/>
    </row>
    <row r="15" spans="1:3" s="72" customFormat="1" x14ac:dyDescent="0.35">
      <c r="A15" s="75">
        <v>7</v>
      </c>
      <c r="B15" s="74" t="s">
        <v>17</v>
      </c>
      <c r="C15" s="77"/>
    </row>
    <row r="16" spans="1:3" s="72" customFormat="1" x14ac:dyDescent="0.35">
      <c r="A16" s="75">
        <v>8</v>
      </c>
      <c r="B16" s="74" t="s">
        <v>18</v>
      </c>
      <c r="C16" s="77"/>
    </row>
    <row r="17" spans="1:3" s="72" customFormat="1" x14ac:dyDescent="0.35">
      <c r="A17" s="75">
        <v>9</v>
      </c>
      <c r="B17" s="74" t="s">
        <v>19</v>
      </c>
      <c r="C17" s="77"/>
    </row>
    <row r="18" spans="1:3" s="72" customFormat="1" x14ac:dyDescent="0.35">
      <c r="A18" s="75">
        <v>10</v>
      </c>
      <c r="B18" s="74" t="s">
        <v>353</v>
      </c>
      <c r="C18" s="77" t="s">
        <v>361</v>
      </c>
    </row>
    <row r="19" spans="1:3" s="72" customFormat="1" x14ac:dyDescent="0.35">
      <c r="A19" s="75">
        <v>11</v>
      </c>
      <c r="B19" s="74" t="s">
        <v>354</v>
      </c>
      <c r="C19" s="77" t="s">
        <v>361</v>
      </c>
    </row>
    <row r="20" spans="1:3" s="72" customFormat="1" x14ac:dyDescent="0.35">
      <c r="A20" s="75">
        <v>12</v>
      </c>
      <c r="B20" s="74" t="s">
        <v>355</v>
      </c>
      <c r="C20" s="77" t="s">
        <v>361</v>
      </c>
    </row>
    <row r="21" spans="1:3" s="72" customFormat="1" x14ac:dyDescent="0.35">
      <c r="A21" s="75">
        <v>13</v>
      </c>
      <c r="B21" s="74" t="s">
        <v>356</v>
      </c>
      <c r="C21" s="77" t="s">
        <v>361</v>
      </c>
    </row>
    <row r="22" spans="1:3" s="72" customFormat="1" x14ac:dyDescent="0.35">
      <c r="A22" s="75">
        <v>14</v>
      </c>
      <c r="B22" s="74" t="s">
        <v>357</v>
      </c>
      <c r="C22" s="77" t="s">
        <v>361</v>
      </c>
    </row>
    <row r="23" spans="1:3" s="72" customFormat="1" x14ac:dyDescent="0.35">
      <c r="A23" s="75">
        <v>15</v>
      </c>
      <c r="B23" s="74" t="s">
        <v>358</v>
      </c>
      <c r="C23" s="77" t="s">
        <v>361</v>
      </c>
    </row>
    <row r="24" spans="1:3" x14ac:dyDescent="0.35">
      <c r="A24" s="75">
        <v>16</v>
      </c>
      <c r="B24" s="74" t="s">
        <v>359</v>
      </c>
      <c r="C24" s="77" t="s">
        <v>361</v>
      </c>
    </row>
    <row r="26" spans="1:3" ht="18" x14ac:dyDescent="0.4">
      <c r="A26" s="50" t="s">
        <v>310</v>
      </c>
      <c r="B26" s="50" t="s">
        <v>312</v>
      </c>
    </row>
    <row r="27" spans="1:3" ht="15.5" x14ac:dyDescent="0.35">
      <c r="A27" s="25" t="s">
        <v>222</v>
      </c>
      <c r="B27" s="73" t="s">
        <v>308</v>
      </c>
    </row>
    <row r="28" spans="1:3" ht="15.5" x14ac:dyDescent="0.35">
      <c r="A28" s="25" t="s">
        <v>314</v>
      </c>
      <c r="B28" s="73" t="s">
        <v>311</v>
      </c>
    </row>
    <row r="29" spans="1:3" ht="15.5" x14ac:dyDescent="0.35">
      <c r="A29" s="25" t="s">
        <v>233</v>
      </c>
      <c r="B29" s="73" t="s">
        <v>313</v>
      </c>
    </row>
    <row r="30" spans="1:3" x14ac:dyDescent="0.35">
      <c r="A30" s="8" t="s">
        <v>310</v>
      </c>
      <c r="B30" s="8" t="s">
        <v>309</v>
      </c>
    </row>
    <row r="31" spans="1:3" x14ac:dyDescent="0.35">
      <c r="A31" s="8" t="s">
        <v>130</v>
      </c>
      <c r="B31" s="8"/>
    </row>
    <row r="32" spans="1:3" x14ac:dyDescent="0.35">
      <c r="A32" s="8" t="s">
        <v>150</v>
      </c>
      <c r="B32" s="8" t="s">
        <v>151</v>
      </c>
    </row>
    <row r="33" spans="1:2" x14ac:dyDescent="0.35">
      <c r="A33" s="8" t="s">
        <v>256</v>
      </c>
      <c r="B33" s="8" t="s">
        <v>257</v>
      </c>
    </row>
    <row r="34" spans="1:2" x14ac:dyDescent="0.35">
      <c r="A34" s="76" t="s">
        <v>277</v>
      </c>
      <c r="B34" s="8" t="s">
        <v>146</v>
      </c>
    </row>
    <row r="35" spans="1:2" x14ac:dyDescent="0.35">
      <c r="A35" s="76" t="s">
        <v>321</v>
      </c>
      <c r="B35" s="8" t="s">
        <v>349</v>
      </c>
    </row>
    <row r="36" spans="1:2" x14ac:dyDescent="0.35">
      <c r="A36" s="76" t="s">
        <v>302</v>
      </c>
      <c r="B36" s="8" t="s">
        <v>305</v>
      </c>
    </row>
    <row r="37" spans="1:2" x14ac:dyDescent="0.35">
      <c r="A37" s="76" t="s">
        <v>222</v>
      </c>
      <c r="B37" s="8" t="s">
        <v>315</v>
      </c>
    </row>
    <row r="38" spans="1:2" x14ac:dyDescent="0.35">
      <c r="A38" s="76" t="s">
        <v>190</v>
      </c>
      <c r="B38" s="8" t="s">
        <v>316</v>
      </c>
    </row>
    <row r="39" spans="1:2" x14ac:dyDescent="0.35">
      <c r="A39" s="76" t="s">
        <v>209</v>
      </c>
      <c r="B39" s="8" t="s">
        <v>209</v>
      </c>
    </row>
    <row r="40" spans="1:2" x14ac:dyDescent="0.35">
      <c r="A40" s="76" t="s">
        <v>233</v>
      </c>
      <c r="B40" s="8" t="s">
        <v>313</v>
      </c>
    </row>
    <row r="41" spans="1:2" x14ac:dyDescent="0.35">
      <c r="A41" s="76" t="s">
        <v>317</v>
      </c>
      <c r="B41" s="8" t="s">
        <v>318</v>
      </c>
    </row>
    <row r="42" spans="1:2" x14ac:dyDescent="0.35">
      <c r="A42" s="76" t="s">
        <v>319</v>
      </c>
      <c r="B42" s="8" t="s">
        <v>320</v>
      </c>
    </row>
  </sheetData>
  <dataValidations count="1">
    <dataValidation type="list" allowBlank="1" showInputMessage="1" showErrorMessage="1" sqref="A2:A6" xr:uid="{FE577D53-F74A-4592-82FF-391993CD6888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DBDE-D74D-4D70-8F38-B37AB4993B7C}">
  <dimension ref="A1:I543"/>
  <sheetViews>
    <sheetView tabSelected="1" zoomScale="85" zoomScaleNormal="85" workbookViewId="0">
      <pane ySplit="1" topLeftCell="A390" activePane="bottomLeft" state="frozen"/>
      <selection pane="bottomLeft" activeCell="E427" sqref="E427"/>
    </sheetView>
  </sheetViews>
  <sheetFormatPr defaultColWidth="8.7265625" defaultRowHeight="17.5" x14ac:dyDescent="0.35"/>
  <cols>
    <col min="1" max="2" width="8.7265625" style="16"/>
    <col min="3" max="3" width="8.7265625" style="49"/>
    <col min="4" max="4" width="38.90625" style="16" customWidth="1"/>
    <col min="5" max="5" width="37.26953125" style="16" customWidth="1"/>
    <col min="6" max="6" width="37.26953125" style="90" customWidth="1"/>
    <col min="7" max="7" width="14.36328125" style="49" customWidth="1"/>
    <col min="8" max="8" width="114.6328125" style="49" customWidth="1"/>
    <col min="9" max="9" width="167" style="97" bestFit="1" customWidth="1"/>
    <col min="10" max="16384" width="8.7265625" style="114"/>
  </cols>
  <sheetData>
    <row r="1" spans="1:9" s="70" customFormat="1" ht="18" x14ac:dyDescent="0.4">
      <c r="A1" s="71" t="s">
        <v>725</v>
      </c>
      <c r="B1" s="119" t="s">
        <v>724</v>
      </c>
      <c r="C1" s="119" t="s">
        <v>350</v>
      </c>
      <c r="D1" s="71" t="s">
        <v>722</v>
      </c>
      <c r="E1" s="71" t="s">
        <v>360</v>
      </c>
      <c r="F1" s="71" t="s">
        <v>304</v>
      </c>
      <c r="G1" s="119" t="s">
        <v>6</v>
      </c>
      <c r="H1" s="71" t="s">
        <v>723</v>
      </c>
      <c r="I1" s="110"/>
    </row>
    <row r="2" spans="1:9" s="117" customFormat="1" ht="18" x14ac:dyDescent="0.4">
      <c r="A2" s="79">
        <v>1</v>
      </c>
      <c r="B2" s="98" t="str">
        <f>CONCATENATE(A2,LEFT(D2,1))</f>
        <v>1E</v>
      </c>
      <c r="C2" s="98">
        <v>1</v>
      </c>
      <c r="D2" s="80" t="s">
        <v>130</v>
      </c>
      <c r="E2" s="80" t="s">
        <v>153</v>
      </c>
      <c r="F2" s="94" t="s">
        <v>750</v>
      </c>
      <c r="G2" s="103" t="s">
        <v>10</v>
      </c>
      <c r="H2" s="89" t="s">
        <v>307</v>
      </c>
      <c r="I2" s="89"/>
    </row>
    <row r="3" spans="1:9" s="112" customFormat="1" x14ac:dyDescent="0.35">
      <c r="A3" s="79">
        <v>2</v>
      </c>
      <c r="B3" s="79" t="str">
        <f>CONCATENATE(A3,LEFT(D3,1))</f>
        <v>2E</v>
      </c>
      <c r="C3" s="79">
        <v>1</v>
      </c>
      <c r="D3" s="82" t="s">
        <v>130</v>
      </c>
      <c r="E3" s="82" t="s">
        <v>131</v>
      </c>
      <c r="F3" s="90" t="s">
        <v>750</v>
      </c>
      <c r="G3" s="49" t="s">
        <v>10</v>
      </c>
      <c r="H3" s="81" t="s">
        <v>369</v>
      </c>
      <c r="I3" s="81"/>
    </row>
    <row r="4" spans="1:9" s="112" customFormat="1" x14ac:dyDescent="0.35">
      <c r="A4" s="79">
        <v>3</v>
      </c>
      <c r="B4" s="79" t="str">
        <f>CONCATENATE(A4,LEFT(D4,1))</f>
        <v>3E</v>
      </c>
      <c r="C4" s="79">
        <v>1</v>
      </c>
      <c r="D4" s="82" t="s">
        <v>130</v>
      </c>
      <c r="E4" s="82" t="s">
        <v>143</v>
      </c>
      <c r="F4" s="90" t="s">
        <v>750</v>
      </c>
      <c r="G4" s="49" t="s">
        <v>10</v>
      </c>
      <c r="H4" s="81" t="s">
        <v>268</v>
      </c>
      <c r="I4" s="81"/>
    </row>
    <row r="5" spans="1:9" x14ac:dyDescent="0.35">
      <c r="A5" s="79">
        <v>4</v>
      </c>
      <c r="B5" s="79" t="str">
        <f>CONCATENATE(A5,LEFT(D5,1))</f>
        <v>4E</v>
      </c>
      <c r="C5" s="86">
        <v>2</v>
      </c>
      <c r="D5" s="83" t="s">
        <v>130</v>
      </c>
      <c r="E5" s="81" t="s">
        <v>150</v>
      </c>
      <c r="F5" s="90" t="s">
        <v>750</v>
      </c>
      <c r="G5" s="49" t="s">
        <v>10</v>
      </c>
      <c r="H5" s="85" t="s">
        <v>151</v>
      </c>
    </row>
    <row r="6" spans="1:9" x14ac:dyDescent="0.35">
      <c r="A6" s="79">
        <v>5</v>
      </c>
      <c r="B6" s="79" t="str">
        <f>CONCATENATE(A6,LEFT(D6,1))</f>
        <v>5E</v>
      </c>
      <c r="C6" s="86">
        <v>2</v>
      </c>
      <c r="D6" s="82" t="s">
        <v>130</v>
      </c>
      <c r="E6" s="85" t="s">
        <v>256</v>
      </c>
      <c r="F6" s="90" t="s">
        <v>750</v>
      </c>
      <c r="G6" s="49" t="s">
        <v>10</v>
      </c>
      <c r="H6" s="87" t="s">
        <v>257</v>
      </c>
    </row>
    <row r="7" spans="1:9" x14ac:dyDescent="0.35">
      <c r="A7" s="79">
        <v>6</v>
      </c>
      <c r="B7" s="79" t="str">
        <f>CONCATENATE(A7,LEFT(D7,1))</f>
        <v>6E</v>
      </c>
      <c r="C7" s="86">
        <v>3</v>
      </c>
      <c r="D7" s="84" t="s">
        <v>130</v>
      </c>
      <c r="E7" s="85" t="s">
        <v>262</v>
      </c>
      <c r="F7" s="90" t="s">
        <v>750</v>
      </c>
      <c r="G7" s="49" t="s">
        <v>10</v>
      </c>
      <c r="H7" s="90" t="s">
        <v>262</v>
      </c>
    </row>
    <row r="8" spans="1:9" x14ac:dyDescent="0.35">
      <c r="A8" s="79">
        <v>7</v>
      </c>
      <c r="B8" s="79" t="str">
        <f>CONCATENATE(A8,LEFT(D8,1))</f>
        <v>7E</v>
      </c>
      <c r="C8" s="86">
        <v>3</v>
      </c>
      <c r="D8" s="84" t="s">
        <v>130</v>
      </c>
      <c r="E8" s="85" t="s">
        <v>303</v>
      </c>
      <c r="F8" s="90" t="s">
        <v>750</v>
      </c>
      <c r="G8" s="49" t="s">
        <v>10</v>
      </c>
      <c r="H8" s="90" t="s">
        <v>303</v>
      </c>
    </row>
    <row r="9" spans="1:9" x14ac:dyDescent="0.35">
      <c r="A9" s="79">
        <v>8</v>
      </c>
      <c r="B9" s="79" t="str">
        <f>CONCATENATE(A9,LEFT(D9,1))</f>
        <v>8E</v>
      </c>
      <c r="C9" s="86">
        <v>4</v>
      </c>
      <c r="D9" s="84" t="s">
        <v>130</v>
      </c>
      <c r="E9" s="16" t="s">
        <v>271</v>
      </c>
      <c r="F9" s="90" t="s">
        <v>750</v>
      </c>
      <c r="G9" s="86" t="s">
        <v>10</v>
      </c>
      <c r="H9" s="87" t="s">
        <v>271</v>
      </c>
      <c r="I9" s="81"/>
    </row>
    <row r="10" spans="1:9" s="112" customFormat="1" x14ac:dyDescent="0.35">
      <c r="A10" s="79">
        <v>9</v>
      </c>
      <c r="B10" s="79" t="str">
        <f>CONCATENATE(A10,LEFT(F10,1))</f>
        <v>9S</v>
      </c>
      <c r="C10" s="86">
        <v>3</v>
      </c>
      <c r="D10" s="90" t="s">
        <v>266</v>
      </c>
      <c r="E10" s="85" t="s">
        <v>272</v>
      </c>
      <c r="F10" s="90" t="s">
        <v>750</v>
      </c>
      <c r="G10" s="49" t="s">
        <v>10</v>
      </c>
      <c r="H10" s="90" t="s">
        <v>726</v>
      </c>
      <c r="I10" s="97"/>
    </row>
    <row r="11" spans="1:9" x14ac:dyDescent="0.35">
      <c r="A11" s="79">
        <v>10</v>
      </c>
      <c r="B11" s="79" t="str">
        <f>CONCATENATE(A11,LEFT(F11,1))</f>
        <v>10T</v>
      </c>
      <c r="C11" s="86">
        <v>3</v>
      </c>
      <c r="D11" s="90" t="s">
        <v>266</v>
      </c>
      <c r="E11" s="85" t="s">
        <v>274</v>
      </c>
      <c r="F11" s="90" t="s">
        <v>145</v>
      </c>
      <c r="G11" s="49" t="s">
        <v>10</v>
      </c>
      <c r="H11" s="90" t="s">
        <v>274</v>
      </c>
    </row>
    <row r="12" spans="1:9" x14ac:dyDescent="0.35">
      <c r="A12" s="79">
        <v>11</v>
      </c>
      <c r="B12" s="79" t="str">
        <f>CONCATENATE(A12,LEFT(F12,1))</f>
        <v>11T</v>
      </c>
      <c r="C12" s="86">
        <v>4</v>
      </c>
      <c r="D12" s="90" t="s">
        <v>266</v>
      </c>
      <c r="E12" s="16" t="s">
        <v>264</v>
      </c>
      <c r="F12" s="90" t="s">
        <v>145</v>
      </c>
      <c r="G12" s="86" t="s">
        <v>10</v>
      </c>
      <c r="H12" s="87" t="s">
        <v>264</v>
      </c>
      <c r="I12" s="81"/>
    </row>
    <row r="13" spans="1:9" x14ac:dyDescent="0.35">
      <c r="A13" s="79">
        <v>12</v>
      </c>
      <c r="B13" s="79" t="str">
        <f>CONCATENATE(A13,LEFT(F13,1))</f>
        <v>12T</v>
      </c>
      <c r="C13" s="86">
        <v>4</v>
      </c>
      <c r="D13" s="90" t="s">
        <v>266</v>
      </c>
      <c r="E13" s="16" t="s">
        <v>276</v>
      </c>
      <c r="F13" s="90" t="s">
        <v>145</v>
      </c>
      <c r="G13" s="86" t="s">
        <v>10</v>
      </c>
      <c r="H13" s="87" t="s">
        <v>276</v>
      </c>
      <c r="I13" s="81"/>
    </row>
    <row r="14" spans="1:9" x14ac:dyDescent="0.35">
      <c r="A14" s="79">
        <v>13</v>
      </c>
      <c r="B14" s="79" t="str">
        <f>CONCATENATE(A14,LEFT(F14,1))</f>
        <v>13T</v>
      </c>
      <c r="C14" s="86">
        <v>4</v>
      </c>
      <c r="D14" s="90" t="s">
        <v>266</v>
      </c>
      <c r="E14" s="16" t="s">
        <v>270</v>
      </c>
      <c r="F14" s="90" t="s">
        <v>145</v>
      </c>
      <c r="G14" s="86" t="s">
        <v>10</v>
      </c>
      <c r="H14" s="87" t="s">
        <v>270</v>
      </c>
      <c r="I14" s="81"/>
    </row>
    <row r="15" spans="1:9" ht="18" x14ac:dyDescent="0.35">
      <c r="A15" s="79">
        <v>14</v>
      </c>
      <c r="B15" s="79" t="str">
        <f>CONCATENATE(A15,LEFT(F15,1))</f>
        <v>14T</v>
      </c>
      <c r="C15" s="86">
        <v>5</v>
      </c>
      <c r="D15" s="90" t="s">
        <v>266</v>
      </c>
      <c r="E15" s="85" t="s">
        <v>273</v>
      </c>
      <c r="F15" s="90" t="s">
        <v>145</v>
      </c>
      <c r="G15" s="86" t="s">
        <v>10</v>
      </c>
      <c r="H15" s="87" t="s">
        <v>273</v>
      </c>
      <c r="I15" s="91"/>
    </row>
    <row r="16" spans="1:9" ht="18" x14ac:dyDescent="0.4">
      <c r="A16" s="79">
        <v>15</v>
      </c>
      <c r="B16" s="79" t="str">
        <f>CONCATENATE(A16,LEFT(F16,1))</f>
        <v>15T</v>
      </c>
      <c r="C16" s="86">
        <v>7</v>
      </c>
      <c r="D16" s="90" t="s">
        <v>266</v>
      </c>
      <c r="E16" s="85" t="s">
        <v>147</v>
      </c>
      <c r="F16" s="90" t="s">
        <v>145</v>
      </c>
      <c r="G16" s="86" t="s">
        <v>10</v>
      </c>
      <c r="H16" s="87" t="s">
        <v>506</v>
      </c>
      <c r="I16" s="92"/>
    </row>
    <row r="17" spans="1:9" x14ac:dyDescent="0.35">
      <c r="A17" s="79">
        <v>16</v>
      </c>
      <c r="B17" s="79" t="str">
        <f>CONCATENATE(A17,LEFT(F17,1))</f>
        <v>16T</v>
      </c>
      <c r="C17" s="86">
        <v>8</v>
      </c>
      <c r="D17" s="90" t="s">
        <v>266</v>
      </c>
      <c r="E17" s="85" t="s">
        <v>148</v>
      </c>
      <c r="F17" s="90" t="s">
        <v>145</v>
      </c>
      <c r="G17" s="86" t="s">
        <v>10</v>
      </c>
      <c r="H17" s="87" t="s">
        <v>507</v>
      </c>
      <c r="I17" s="85"/>
    </row>
    <row r="18" spans="1:9" x14ac:dyDescent="0.35">
      <c r="A18" s="79">
        <v>17</v>
      </c>
      <c r="B18" s="79" t="str">
        <f>CONCATENATE(A18,LEFT(F18,1))</f>
        <v>17T</v>
      </c>
      <c r="C18" s="86">
        <v>9</v>
      </c>
      <c r="D18" s="90" t="s">
        <v>266</v>
      </c>
      <c r="E18" s="16" t="s">
        <v>149</v>
      </c>
      <c r="F18" s="90" t="s">
        <v>145</v>
      </c>
      <c r="G18" s="86" t="s">
        <v>10</v>
      </c>
      <c r="H18" s="85" t="s">
        <v>535</v>
      </c>
      <c r="I18" s="85"/>
    </row>
    <row r="19" spans="1:9" s="113" customFormat="1" ht="18" x14ac:dyDescent="0.4">
      <c r="A19" s="79">
        <v>18</v>
      </c>
      <c r="B19" s="79" t="str">
        <f t="shared" ref="B19:B57" si="0">CONCATENATE(A19,LEFT(F19,1))</f>
        <v>18T</v>
      </c>
      <c r="C19" s="86">
        <v>1</v>
      </c>
      <c r="D19" s="90" t="s">
        <v>266</v>
      </c>
      <c r="E19" s="88" t="s">
        <v>267</v>
      </c>
      <c r="F19" s="90" t="s">
        <v>145</v>
      </c>
      <c r="G19" s="49" t="s">
        <v>10</v>
      </c>
      <c r="H19" s="81" t="s">
        <v>152</v>
      </c>
      <c r="I19" s="91"/>
    </row>
    <row r="20" spans="1:9" ht="18" x14ac:dyDescent="0.4">
      <c r="A20" s="79">
        <v>19</v>
      </c>
      <c r="B20" s="79" t="str">
        <f t="shared" si="0"/>
        <v>19T</v>
      </c>
      <c r="C20" s="79">
        <v>1</v>
      </c>
      <c r="D20" s="90" t="s">
        <v>266</v>
      </c>
      <c r="E20" s="82" t="s">
        <v>188</v>
      </c>
      <c r="F20" s="90" t="s">
        <v>145</v>
      </c>
      <c r="G20" s="49" t="s">
        <v>10</v>
      </c>
      <c r="H20" s="83" t="s">
        <v>368</v>
      </c>
      <c r="I20" s="99"/>
    </row>
    <row r="21" spans="1:9" ht="18" x14ac:dyDescent="0.4">
      <c r="A21" s="79">
        <v>20</v>
      </c>
      <c r="B21" s="79" t="str">
        <f t="shared" si="0"/>
        <v>20T</v>
      </c>
      <c r="C21" s="79">
        <v>1</v>
      </c>
      <c r="D21" s="90" t="s">
        <v>266</v>
      </c>
      <c r="E21" s="82" t="s">
        <v>187</v>
      </c>
      <c r="F21" s="90" t="s">
        <v>145</v>
      </c>
      <c r="G21" s="49" t="s">
        <v>10</v>
      </c>
      <c r="H21" s="83" t="s">
        <v>410</v>
      </c>
      <c r="I21" s="99"/>
    </row>
    <row r="22" spans="1:9" x14ac:dyDescent="0.35">
      <c r="A22" s="79">
        <v>21</v>
      </c>
      <c r="B22" s="79" t="str">
        <f t="shared" si="0"/>
        <v>21T</v>
      </c>
      <c r="C22" s="86">
        <v>2</v>
      </c>
      <c r="D22" s="90" t="s">
        <v>266</v>
      </c>
      <c r="E22" s="82" t="s">
        <v>277</v>
      </c>
      <c r="F22" s="90" t="s">
        <v>145</v>
      </c>
      <c r="G22" s="49" t="s">
        <v>10</v>
      </c>
      <c r="H22" s="90" t="s">
        <v>146</v>
      </c>
    </row>
    <row r="23" spans="1:9" x14ac:dyDescent="0.35">
      <c r="A23" s="79">
        <v>22</v>
      </c>
      <c r="B23" s="79" t="str">
        <f t="shared" si="0"/>
        <v>22T</v>
      </c>
      <c r="C23" s="86">
        <v>3</v>
      </c>
      <c r="D23" s="90" t="s">
        <v>266</v>
      </c>
      <c r="E23" s="85" t="s">
        <v>274</v>
      </c>
      <c r="F23" s="90" t="s">
        <v>145</v>
      </c>
      <c r="G23" s="49" t="s">
        <v>10</v>
      </c>
      <c r="H23" s="90" t="s">
        <v>274</v>
      </c>
    </row>
    <row r="24" spans="1:9" x14ac:dyDescent="0.35">
      <c r="A24" s="79">
        <v>23</v>
      </c>
      <c r="B24" s="79" t="str">
        <f t="shared" si="0"/>
        <v>23T</v>
      </c>
      <c r="C24" s="86">
        <v>3</v>
      </c>
      <c r="D24" s="90" t="s">
        <v>266</v>
      </c>
      <c r="E24" s="85" t="s">
        <v>263</v>
      </c>
      <c r="F24" s="90" t="s">
        <v>145</v>
      </c>
      <c r="G24" s="49" t="s">
        <v>10</v>
      </c>
      <c r="H24" s="90" t="s">
        <v>263</v>
      </c>
    </row>
    <row r="25" spans="1:9" s="112" customFormat="1" x14ac:dyDescent="0.35">
      <c r="A25" s="79">
        <v>24</v>
      </c>
      <c r="B25" s="79" t="str">
        <f t="shared" si="0"/>
        <v>24T</v>
      </c>
      <c r="C25" s="86">
        <v>3</v>
      </c>
      <c r="D25" s="90" t="s">
        <v>266</v>
      </c>
      <c r="E25" s="85" t="s">
        <v>275</v>
      </c>
      <c r="F25" s="90" t="s">
        <v>145</v>
      </c>
      <c r="G25" s="49" t="s">
        <v>10</v>
      </c>
      <c r="H25" s="90" t="s">
        <v>275</v>
      </c>
      <c r="I25" s="97"/>
    </row>
    <row r="26" spans="1:9" s="117" customFormat="1" ht="18" x14ac:dyDescent="0.4">
      <c r="A26" s="79">
        <v>25</v>
      </c>
      <c r="B26" s="98" t="str">
        <f>CONCATENATE(A26,LEFT(D26,1))</f>
        <v>25J</v>
      </c>
      <c r="C26" s="98">
        <v>1</v>
      </c>
      <c r="D26" s="80" t="s">
        <v>729</v>
      </c>
      <c r="E26" s="80" t="s">
        <v>135</v>
      </c>
      <c r="F26" s="94" t="s">
        <v>737</v>
      </c>
      <c r="G26" s="103" t="s">
        <v>10</v>
      </c>
      <c r="H26" s="80" t="s">
        <v>133</v>
      </c>
      <c r="I26" s="99"/>
    </row>
    <row r="27" spans="1:9" s="112" customFormat="1" x14ac:dyDescent="0.35">
      <c r="A27" s="79">
        <v>26</v>
      </c>
      <c r="B27" s="79" t="str">
        <f>CONCATENATE(A27,LEFT(D27,1))</f>
        <v>26J</v>
      </c>
      <c r="C27" s="79">
        <v>1</v>
      </c>
      <c r="D27" s="82" t="s">
        <v>730</v>
      </c>
      <c r="E27" s="82" t="s">
        <v>134</v>
      </c>
      <c r="F27" s="90" t="s">
        <v>737</v>
      </c>
      <c r="G27" s="49" t="s">
        <v>10</v>
      </c>
      <c r="H27" s="82" t="s">
        <v>136</v>
      </c>
      <c r="I27" s="83"/>
    </row>
    <row r="28" spans="1:9" s="112" customFormat="1" x14ac:dyDescent="0.35">
      <c r="A28" s="79">
        <v>27</v>
      </c>
      <c r="B28" s="79" t="str">
        <f>CONCATENATE(A28,LEFT(D28,1))</f>
        <v>27J</v>
      </c>
      <c r="C28" s="79">
        <v>1</v>
      </c>
      <c r="D28" s="82" t="s">
        <v>731</v>
      </c>
      <c r="E28" s="82" t="s">
        <v>137</v>
      </c>
      <c r="F28" s="90" t="s">
        <v>737</v>
      </c>
      <c r="G28" s="49" t="s">
        <v>10</v>
      </c>
      <c r="H28" s="82" t="s">
        <v>138</v>
      </c>
      <c r="I28" s="83"/>
    </row>
    <row r="29" spans="1:9" s="112" customFormat="1" x14ac:dyDescent="0.35">
      <c r="A29" s="79">
        <v>28</v>
      </c>
      <c r="B29" s="79" t="str">
        <f>CONCATENATE(A29,LEFT(D29,1))</f>
        <v>28J</v>
      </c>
      <c r="C29" s="79">
        <v>1</v>
      </c>
      <c r="D29" s="82" t="s">
        <v>732</v>
      </c>
      <c r="E29" s="82" t="s">
        <v>139</v>
      </c>
      <c r="F29" s="90" t="s">
        <v>737</v>
      </c>
      <c r="G29" s="49" t="s">
        <v>10</v>
      </c>
      <c r="H29" s="82" t="s">
        <v>140</v>
      </c>
      <c r="I29" s="83"/>
    </row>
    <row r="30" spans="1:9" s="112" customFormat="1" x14ac:dyDescent="0.35">
      <c r="A30" s="79">
        <v>29</v>
      </c>
      <c r="B30" s="79" t="str">
        <f>CONCATENATE(A30,LEFT(D30,1))</f>
        <v>29J</v>
      </c>
      <c r="C30" s="79">
        <v>1</v>
      </c>
      <c r="D30" s="82" t="s">
        <v>733</v>
      </c>
      <c r="E30" s="82" t="s">
        <v>141</v>
      </c>
      <c r="F30" s="90" t="s">
        <v>737</v>
      </c>
      <c r="G30" s="49" t="s">
        <v>10</v>
      </c>
      <c r="H30" s="82" t="s">
        <v>142</v>
      </c>
      <c r="I30" s="83"/>
    </row>
    <row r="31" spans="1:9" s="112" customFormat="1" x14ac:dyDescent="0.35">
      <c r="A31" s="79">
        <v>30</v>
      </c>
      <c r="B31" s="79" t="str">
        <f>CONCATENATE(A31,LEFT(D31,1))</f>
        <v>30J</v>
      </c>
      <c r="C31" s="79">
        <v>1</v>
      </c>
      <c r="D31" s="82" t="s">
        <v>734</v>
      </c>
      <c r="E31" s="82" t="s">
        <v>300</v>
      </c>
      <c r="F31" s="90" t="s">
        <v>737</v>
      </c>
      <c r="G31" s="49" t="s">
        <v>10</v>
      </c>
      <c r="H31" s="82" t="s">
        <v>142</v>
      </c>
      <c r="I31" s="83"/>
    </row>
    <row r="32" spans="1:9" x14ac:dyDescent="0.35">
      <c r="A32" s="79">
        <v>31</v>
      </c>
      <c r="B32" s="79" t="str">
        <f>CONCATENATE(A32,LEFT(D32,1))</f>
        <v>31J</v>
      </c>
      <c r="C32" s="86">
        <v>2</v>
      </c>
      <c r="D32" s="82" t="s">
        <v>735</v>
      </c>
      <c r="E32" s="90" t="s">
        <v>298</v>
      </c>
      <c r="F32" s="90" t="s">
        <v>737</v>
      </c>
      <c r="G32" s="49" t="s">
        <v>10</v>
      </c>
      <c r="H32" s="90" t="s">
        <v>298</v>
      </c>
    </row>
    <row r="33" spans="1:9" x14ac:dyDescent="0.35">
      <c r="A33" s="79">
        <v>32</v>
      </c>
      <c r="B33" s="79" t="str">
        <f>CONCATENATE(A33,LEFT(D33,1))</f>
        <v>32J</v>
      </c>
      <c r="C33" s="86">
        <v>2</v>
      </c>
      <c r="D33" s="82" t="s">
        <v>736</v>
      </c>
      <c r="E33" s="90" t="s">
        <v>299</v>
      </c>
      <c r="F33" s="90" t="s">
        <v>737</v>
      </c>
      <c r="G33" s="49" t="s">
        <v>10</v>
      </c>
      <c r="H33" s="90" t="s">
        <v>299</v>
      </c>
    </row>
    <row r="34" spans="1:9" s="117" customFormat="1" ht="18" x14ac:dyDescent="0.4">
      <c r="A34" s="79">
        <v>33</v>
      </c>
      <c r="B34" s="98" t="str">
        <f>CONCATENATE(A34,LEFT(F34,1))</f>
        <v>33L</v>
      </c>
      <c r="C34" s="98">
        <v>1</v>
      </c>
      <c r="D34" s="101" t="s">
        <v>727</v>
      </c>
      <c r="E34" s="80" t="s">
        <v>728</v>
      </c>
      <c r="F34" s="93" t="s">
        <v>265</v>
      </c>
      <c r="G34" s="103" t="s">
        <v>10</v>
      </c>
      <c r="H34" s="89" t="s">
        <v>269</v>
      </c>
      <c r="I34" s="89"/>
    </row>
    <row r="35" spans="1:9" x14ac:dyDescent="0.35">
      <c r="A35" s="79">
        <v>34</v>
      </c>
      <c r="B35" s="79" t="str">
        <f>CONCATENATE(A35,LEFT(F35,1))</f>
        <v>34L</v>
      </c>
      <c r="C35" s="86">
        <v>2</v>
      </c>
      <c r="D35" s="102" t="s">
        <v>727</v>
      </c>
      <c r="E35" s="82" t="s">
        <v>259</v>
      </c>
      <c r="F35" s="87" t="s">
        <v>265</v>
      </c>
      <c r="G35" s="49" t="s">
        <v>10</v>
      </c>
      <c r="H35" s="90" t="s">
        <v>259</v>
      </c>
    </row>
    <row r="36" spans="1:9" x14ac:dyDescent="0.35">
      <c r="A36" s="79">
        <v>35</v>
      </c>
      <c r="B36" s="79" t="str">
        <f>CONCATENATE(A36,LEFT(F36,1))</f>
        <v>35L</v>
      </c>
      <c r="C36" s="86">
        <v>2</v>
      </c>
      <c r="D36" s="102" t="s">
        <v>727</v>
      </c>
      <c r="E36" s="82" t="s">
        <v>278</v>
      </c>
      <c r="F36" s="87" t="s">
        <v>265</v>
      </c>
      <c r="G36" s="49" t="s">
        <v>10</v>
      </c>
      <c r="H36" s="90" t="s">
        <v>278</v>
      </c>
    </row>
    <row r="37" spans="1:9" x14ac:dyDescent="0.35">
      <c r="A37" s="79">
        <v>36</v>
      </c>
      <c r="B37" s="79" t="str">
        <f>CONCATENATE(A37,LEFT(F37,1))</f>
        <v>36L</v>
      </c>
      <c r="C37" s="86">
        <v>3</v>
      </c>
      <c r="D37" s="102" t="s">
        <v>727</v>
      </c>
      <c r="E37" s="85" t="s">
        <v>260</v>
      </c>
      <c r="F37" s="90" t="s">
        <v>265</v>
      </c>
      <c r="G37" s="49" t="s">
        <v>10</v>
      </c>
      <c r="H37" s="90" t="s">
        <v>260</v>
      </c>
    </row>
    <row r="38" spans="1:9" x14ac:dyDescent="0.35">
      <c r="A38" s="79">
        <v>37</v>
      </c>
      <c r="B38" s="79" t="str">
        <f>CONCATENATE(A38,LEFT(F38,1))</f>
        <v>37L</v>
      </c>
      <c r="C38" s="86">
        <v>4</v>
      </c>
      <c r="D38" s="102" t="s">
        <v>727</v>
      </c>
      <c r="E38" s="16" t="s">
        <v>261</v>
      </c>
      <c r="F38" s="84" t="s">
        <v>265</v>
      </c>
      <c r="G38" s="86" t="s">
        <v>10</v>
      </c>
      <c r="H38" s="87" t="s">
        <v>261</v>
      </c>
      <c r="I38" s="81"/>
    </row>
    <row r="39" spans="1:9" x14ac:dyDescent="0.35">
      <c r="A39" s="79">
        <v>38</v>
      </c>
      <c r="B39" s="79" t="str">
        <f>CONCATENATE(A39,LEFT(F39,1))</f>
        <v>38L</v>
      </c>
      <c r="C39" s="86">
        <v>4</v>
      </c>
      <c r="D39" s="102" t="s">
        <v>727</v>
      </c>
      <c r="E39" s="16" t="s">
        <v>258</v>
      </c>
      <c r="F39" s="84" t="s">
        <v>265</v>
      </c>
      <c r="G39" s="86" t="s">
        <v>10</v>
      </c>
      <c r="H39" s="87" t="s">
        <v>258</v>
      </c>
      <c r="I39" s="81"/>
    </row>
    <row r="40" spans="1:9" ht="18" x14ac:dyDescent="0.4">
      <c r="A40" s="79">
        <v>39</v>
      </c>
      <c r="B40" s="79" t="str">
        <f t="shared" si="0"/>
        <v>39M</v>
      </c>
      <c r="C40" s="49">
        <v>1</v>
      </c>
      <c r="D40" s="94" t="s">
        <v>305</v>
      </c>
      <c r="E40" s="94" t="s">
        <v>436</v>
      </c>
      <c r="F40" s="95" t="s">
        <v>738</v>
      </c>
      <c r="G40" s="49" t="s">
        <v>10</v>
      </c>
      <c r="H40" s="96" t="s">
        <v>436</v>
      </c>
      <c r="I40" s="81"/>
    </row>
    <row r="41" spans="1:9" x14ac:dyDescent="0.35">
      <c r="A41" s="79">
        <v>40</v>
      </c>
      <c r="B41" s="79" t="str">
        <f t="shared" si="0"/>
        <v>40M</v>
      </c>
      <c r="C41" s="49">
        <v>1</v>
      </c>
      <c r="D41" s="90" t="s">
        <v>305</v>
      </c>
      <c r="E41" s="90" t="s">
        <v>437</v>
      </c>
      <c r="F41" s="84" t="s">
        <v>738</v>
      </c>
      <c r="G41" s="49" t="s">
        <v>10</v>
      </c>
      <c r="H41" s="96" t="s">
        <v>437</v>
      </c>
      <c r="I41" s="81"/>
    </row>
    <row r="42" spans="1:9" x14ac:dyDescent="0.35">
      <c r="A42" s="79">
        <v>41</v>
      </c>
      <c r="B42" s="79" t="str">
        <f t="shared" si="0"/>
        <v>41M</v>
      </c>
      <c r="C42" s="49">
        <v>2</v>
      </c>
      <c r="D42" s="90" t="s">
        <v>305</v>
      </c>
      <c r="E42" s="90" t="s">
        <v>438</v>
      </c>
      <c r="F42" s="84" t="s">
        <v>738</v>
      </c>
      <c r="G42" s="49" t="s">
        <v>10</v>
      </c>
      <c r="H42" s="96" t="s">
        <v>438</v>
      </c>
      <c r="I42" s="81"/>
    </row>
    <row r="43" spans="1:9" x14ac:dyDescent="0.35">
      <c r="A43" s="79">
        <v>42</v>
      </c>
      <c r="B43" s="79" t="str">
        <f t="shared" si="0"/>
        <v>42M</v>
      </c>
      <c r="C43" s="49">
        <v>2</v>
      </c>
      <c r="D43" s="90" t="s">
        <v>305</v>
      </c>
      <c r="E43" s="90" t="s">
        <v>439</v>
      </c>
      <c r="F43" s="84" t="s">
        <v>738</v>
      </c>
      <c r="G43" s="49" t="s">
        <v>10</v>
      </c>
      <c r="H43" s="96" t="s">
        <v>439</v>
      </c>
      <c r="I43" s="81"/>
    </row>
    <row r="44" spans="1:9" x14ac:dyDescent="0.35">
      <c r="A44" s="79">
        <v>43</v>
      </c>
      <c r="B44" s="79" t="str">
        <f t="shared" si="0"/>
        <v>43M</v>
      </c>
      <c r="C44" s="49">
        <v>3</v>
      </c>
      <c r="D44" s="90" t="s">
        <v>305</v>
      </c>
      <c r="E44" s="90" t="s">
        <v>440</v>
      </c>
      <c r="F44" s="84" t="s">
        <v>738</v>
      </c>
      <c r="G44" s="49" t="s">
        <v>10</v>
      </c>
      <c r="H44" s="96" t="s">
        <v>440</v>
      </c>
      <c r="I44" s="81"/>
    </row>
    <row r="45" spans="1:9" x14ac:dyDescent="0.35">
      <c r="A45" s="79">
        <v>44</v>
      </c>
      <c r="B45" s="79" t="str">
        <f t="shared" si="0"/>
        <v>44M</v>
      </c>
      <c r="C45" s="49">
        <v>3</v>
      </c>
      <c r="D45" s="90" t="s">
        <v>305</v>
      </c>
      <c r="E45" s="90" t="s">
        <v>441</v>
      </c>
      <c r="F45" s="84" t="s">
        <v>738</v>
      </c>
      <c r="G45" s="49" t="s">
        <v>10</v>
      </c>
      <c r="H45" s="96" t="s">
        <v>441</v>
      </c>
      <c r="I45" s="81"/>
    </row>
    <row r="46" spans="1:9" x14ac:dyDescent="0.35">
      <c r="A46" s="79">
        <v>45</v>
      </c>
      <c r="B46" s="79" t="str">
        <f t="shared" si="0"/>
        <v>45M</v>
      </c>
      <c r="C46" s="86">
        <v>4</v>
      </c>
      <c r="D46" s="90" t="s">
        <v>305</v>
      </c>
      <c r="E46" s="90" t="s">
        <v>428</v>
      </c>
      <c r="F46" s="84" t="s">
        <v>738</v>
      </c>
      <c r="G46" s="86" t="s">
        <v>10</v>
      </c>
      <c r="H46" s="87" t="s">
        <v>428</v>
      </c>
      <c r="I46" s="81"/>
    </row>
    <row r="47" spans="1:9" x14ac:dyDescent="0.35">
      <c r="A47" s="79">
        <v>46</v>
      </c>
      <c r="B47" s="79" t="str">
        <f t="shared" si="0"/>
        <v>46M</v>
      </c>
      <c r="C47" s="86">
        <v>4</v>
      </c>
      <c r="D47" s="90" t="s">
        <v>305</v>
      </c>
      <c r="E47" s="90" t="s">
        <v>429</v>
      </c>
      <c r="F47" s="84" t="s">
        <v>738</v>
      </c>
      <c r="G47" s="86" t="s">
        <v>10</v>
      </c>
      <c r="H47" s="87" t="s">
        <v>429</v>
      </c>
      <c r="I47" s="81"/>
    </row>
    <row r="48" spans="1:9" x14ac:dyDescent="0.35">
      <c r="A48" s="79">
        <v>47</v>
      </c>
      <c r="B48" s="79" t="str">
        <f t="shared" si="0"/>
        <v>47M</v>
      </c>
      <c r="C48" s="86">
        <v>5</v>
      </c>
      <c r="D48" s="90" t="s">
        <v>305</v>
      </c>
      <c r="E48" s="90" t="s">
        <v>448</v>
      </c>
      <c r="F48" s="84" t="s">
        <v>738</v>
      </c>
      <c r="G48" s="86" t="s">
        <v>10</v>
      </c>
      <c r="H48" s="90" t="s">
        <v>448</v>
      </c>
    </row>
    <row r="49" spans="1:9" x14ac:dyDescent="0.35">
      <c r="A49" s="79">
        <v>48</v>
      </c>
      <c r="B49" s="79" t="str">
        <f t="shared" si="0"/>
        <v>48M</v>
      </c>
      <c r="C49" s="86">
        <v>5</v>
      </c>
      <c r="D49" s="90" t="s">
        <v>305</v>
      </c>
      <c r="E49" s="90" t="s">
        <v>449</v>
      </c>
      <c r="F49" s="84" t="s">
        <v>738</v>
      </c>
      <c r="G49" s="86" t="s">
        <v>10</v>
      </c>
      <c r="H49" s="87" t="s">
        <v>449</v>
      </c>
      <c r="I49" s="85"/>
    </row>
    <row r="50" spans="1:9" x14ac:dyDescent="0.35">
      <c r="A50" s="79">
        <v>49</v>
      </c>
      <c r="B50" s="79" t="str">
        <f t="shared" si="0"/>
        <v>49M</v>
      </c>
      <c r="C50" s="86">
        <v>6</v>
      </c>
      <c r="D50" s="90" t="s">
        <v>305</v>
      </c>
      <c r="E50" s="90" t="s">
        <v>469</v>
      </c>
      <c r="F50" s="84" t="s">
        <v>738</v>
      </c>
      <c r="G50" s="86" t="s">
        <v>10</v>
      </c>
      <c r="H50" s="90" t="s">
        <v>469</v>
      </c>
      <c r="I50" s="96"/>
    </row>
    <row r="51" spans="1:9" x14ac:dyDescent="0.35">
      <c r="A51" s="79">
        <v>50</v>
      </c>
      <c r="B51" s="79" t="str">
        <f t="shared" si="0"/>
        <v>50M</v>
      </c>
      <c r="C51" s="86">
        <v>6</v>
      </c>
      <c r="D51" s="90" t="s">
        <v>305</v>
      </c>
      <c r="E51" s="90" t="s">
        <v>470</v>
      </c>
      <c r="F51" s="84" t="s">
        <v>738</v>
      </c>
      <c r="G51" s="86" t="s">
        <v>10</v>
      </c>
      <c r="H51" s="90" t="s">
        <v>470</v>
      </c>
      <c r="I51" s="96"/>
    </row>
    <row r="52" spans="1:9" s="117" customFormat="1" ht="18" x14ac:dyDescent="0.4">
      <c r="A52" s="79">
        <v>51</v>
      </c>
      <c r="B52" s="79" t="str">
        <f t="shared" si="0"/>
        <v>51M</v>
      </c>
      <c r="C52" s="98">
        <v>1</v>
      </c>
      <c r="D52" s="117" t="s">
        <v>744</v>
      </c>
      <c r="E52" s="80" t="s">
        <v>362</v>
      </c>
      <c r="F52" s="84" t="s">
        <v>738</v>
      </c>
      <c r="G52" s="103" t="s">
        <v>10</v>
      </c>
      <c r="H52" s="100" t="s">
        <v>417</v>
      </c>
      <c r="I52" s="100"/>
    </row>
    <row r="53" spans="1:9" s="112" customFormat="1" x14ac:dyDescent="0.35">
      <c r="A53" s="79">
        <v>52</v>
      </c>
      <c r="B53" s="79" t="str">
        <f t="shared" si="0"/>
        <v>52M</v>
      </c>
      <c r="C53" s="79">
        <v>1</v>
      </c>
      <c r="D53" s="112" t="s">
        <v>739</v>
      </c>
      <c r="E53" s="82" t="s">
        <v>363</v>
      </c>
      <c r="F53" s="84" t="s">
        <v>738</v>
      </c>
      <c r="G53" s="49" t="s">
        <v>10</v>
      </c>
      <c r="H53" s="97" t="s">
        <v>418</v>
      </c>
      <c r="I53" s="97"/>
    </row>
    <row r="54" spans="1:9" s="112" customFormat="1" x14ac:dyDescent="0.35">
      <c r="A54" s="79">
        <v>53</v>
      </c>
      <c r="B54" s="79" t="str">
        <f t="shared" si="0"/>
        <v>53M</v>
      </c>
      <c r="C54" s="79">
        <v>1</v>
      </c>
      <c r="D54" s="112" t="s">
        <v>740</v>
      </c>
      <c r="E54" s="82" t="s">
        <v>364</v>
      </c>
      <c r="F54" s="84" t="s">
        <v>738</v>
      </c>
      <c r="G54" s="49" t="s">
        <v>10</v>
      </c>
      <c r="H54" s="97" t="s">
        <v>419</v>
      </c>
      <c r="I54" s="97"/>
    </row>
    <row r="55" spans="1:9" s="112" customFormat="1" x14ac:dyDescent="0.35">
      <c r="A55" s="79">
        <v>54</v>
      </c>
      <c r="B55" s="79" t="str">
        <f t="shared" si="0"/>
        <v>54M</v>
      </c>
      <c r="C55" s="79">
        <v>1</v>
      </c>
      <c r="D55" s="112" t="s">
        <v>741</v>
      </c>
      <c r="E55" s="82" t="s">
        <v>365</v>
      </c>
      <c r="F55" s="84" t="s">
        <v>738</v>
      </c>
      <c r="G55" s="49" t="s">
        <v>10</v>
      </c>
      <c r="H55" s="97" t="s">
        <v>420</v>
      </c>
      <c r="I55" s="97"/>
    </row>
    <row r="56" spans="1:9" s="112" customFormat="1" x14ac:dyDescent="0.35">
      <c r="A56" s="79">
        <v>55</v>
      </c>
      <c r="B56" s="79" t="str">
        <f t="shared" si="0"/>
        <v>55M</v>
      </c>
      <c r="C56" s="79">
        <v>1</v>
      </c>
      <c r="D56" s="112" t="s">
        <v>742</v>
      </c>
      <c r="E56" s="82" t="s">
        <v>366</v>
      </c>
      <c r="F56" s="84" t="s">
        <v>738</v>
      </c>
      <c r="G56" s="49" t="s">
        <v>10</v>
      </c>
      <c r="H56" s="97" t="s">
        <v>421</v>
      </c>
      <c r="I56" s="97"/>
    </row>
    <row r="57" spans="1:9" s="112" customFormat="1" x14ac:dyDescent="0.35">
      <c r="A57" s="79">
        <v>56</v>
      </c>
      <c r="B57" s="79" t="str">
        <f t="shared" si="0"/>
        <v>56M</v>
      </c>
      <c r="C57" s="79">
        <v>1</v>
      </c>
      <c r="D57" s="112" t="s">
        <v>743</v>
      </c>
      <c r="E57" s="82" t="s">
        <v>367</v>
      </c>
      <c r="F57" s="84" t="s">
        <v>738</v>
      </c>
      <c r="G57" s="49" t="s">
        <v>10</v>
      </c>
      <c r="H57" s="97" t="s">
        <v>422</v>
      </c>
      <c r="I57" s="97"/>
    </row>
    <row r="58" spans="1:9" s="117" customFormat="1" ht="18" x14ac:dyDescent="0.4">
      <c r="A58" s="79">
        <v>57</v>
      </c>
      <c r="B58" s="79" t="str">
        <f>CONCATENATE(A58,LEFT(D58,1))</f>
        <v>57W</v>
      </c>
      <c r="C58" s="98">
        <v>1</v>
      </c>
      <c r="D58" s="83" t="s">
        <v>408</v>
      </c>
      <c r="E58" s="101" t="s">
        <v>189</v>
      </c>
      <c r="F58" s="101" t="s">
        <v>745</v>
      </c>
      <c r="G58" s="103" t="s">
        <v>10</v>
      </c>
      <c r="H58" s="80" t="s">
        <v>154</v>
      </c>
      <c r="I58" s="100"/>
    </row>
    <row r="59" spans="1:9" s="112" customFormat="1" x14ac:dyDescent="0.35">
      <c r="A59" s="79">
        <v>58</v>
      </c>
      <c r="B59" s="79" t="str">
        <f>CONCATENATE(A59,LEFT(D59,1))</f>
        <v>58W</v>
      </c>
      <c r="C59" s="79">
        <v>1</v>
      </c>
      <c r="D59" s="83" t="s">
        <v>408</v>
      </c>
      <c r="E59" s="102" t="s">
        <v>189</v>
      </c>
      <c r="F59" s="102" t="s">
        <v>745</v>
      </c>
      <c r="G59" s="49" t="s">
        <v>10</v>
      </c>
      <c r="H59" s="82" t="s">
        <v>155</v>
      </c>
      <c r="I59" s="97"/>
    </row>
    <row r="60" spans="1:9" s="112" customFormat="1" x14ac:dyDescent="0.35">
      <c r="A60" s="79">
        <v>59</v>
      </c>
      <c r="B60" s="79" t="str">
        <f>CONCATENATE(A60,LEFT(D60,1))</f>
        <v>59W</v>
      </c>
      <c r="C60" s="79">
        <v>1</v>
      </c>
      <c r="D60" s="83" t="s">
        <v>408</v>
      </c>
      <c r="E60" s="102" t="s">
        <v>189</v>
      </c>
      <c r="F60" s="102" t="s">
        <v>745</v>
      </c>
      <c r="G60" s="49" t="s">
        <v>10</v>
      </c>
      <c r="H60" s="82" t="s">
        <v>156</v>
      </c>
      <c r="I60" s="97"/>
    </row>
    <row r="61" spans="1:9" s="112" customFormat="1" x14ac:dyDescent="0.35">
      <c r="A61" s="79">
        <v>60</v>
      </c>
      <c r="B61" s="79" t="str">
        <f>CONCATENATE(A61,LEFT(D61,1))</f>
        <v>60W</v>
      </c>
      <c r="C61" s="79">
        <v>1</v>
      </c>
      <c r="D61" s="83" t="s">
        <v>408</v>
      </c>
      <c r="E61" s="102" t="s">
        <v>189</v>
      </c>
      <c r="F61" s="102" t="s">
        <v>745</v>
      </c>
      <c r="G61" s="49" t="s">
        <v>10</v>
      </c>
      <c r="H61" s="82" t="s">
        <v>157</v>
      </c>
      <c r="I61" s="97"/>
    </row>
    <row r="62" spans="1:9" s="112" customFormat="1" x14ac:dyDescent="0.35">
      <c r="A62" s="79">
        <v>61</v>
      </c>
      <c r="B62" s="79" t="str">
        <f>CONCATENATE(A62,LEFT(D62,1))</f>
        <v>61W</v>
      </c>
      <c r="C62" s="79">
        <v>1</v>
      </c>
      <c r="D62" s="83" t="s">
        <v>408</v>
      </c>
      <c r="E62" s="102" t="s">
        <v>189</v>
      </c>
      <c r="F62" s="102" t="s">
        <v>745</v>
      </c>
      <c r="G62" s="49" t="s">
        <v>10</v>
      </c>
      <c r="H62" s="82" t="s">
        <v>158</v>
      </c>
      <c r="I62" s="97"/>
    </row>
    <row r="63" spans="1:9" s="112" customFormat="1" x14ac:dyDescent="0.35">
      <c r="A63" s="79">
        <v>62</v>
      </c>
      <c r="B63" s="79" t="str">
        <f>CONCATENATE(A63,LEFT(D63,1))</f>
        <v>62W</v>
      </c>
      <c r="C63" s="79">
        <v>1</v>
      </c>
      <c r="D63" s="83" t="s">
        <v>408</v>
      </c>
      <c r="E63" s="102" t="s">
        <v>189</v>
      </c>
      <c r="F63" s="102" t="s">
        <v>745</v>
      </c>
      <c r="G63" s="49" t="s">
        <v>10</v>
      </c>
      <c r="H63" s="82" t="s">
        <v>159</v>
      </c>
      <c r="I63" s="97"/>
    </row>
    <row r="64" spans="1:9" s="112" customFormat="1" x14ac:dyDescent="0.35">
      <c r="A64" s="79">
        <v>63</v>
      </c>
      <c r="B64" s="79" t="str">
        <f>CONCATENATE(A64,LEFT(D64,1))</f>
        <v>63W</v>
      </c>
      <c r="C64" s="79">
        <v>1</v>
      </c>
      <c r="D64" s="83" t="s">
        <v>408</v>
      </c>
      <c r="E64" s="102" t="s">
        <v>189</v>
      </c>
      <c r="F64" s="102" t="s">
        <v>745</v>
      </c>
      <c r="G64" s="49" t="s">
        <v>10</v>
      </c>
      <c r="H64" s="82" t="s">
        <v>160</v>
      </c>
      <c r="I64" s="97"/>
    </row>
    <row r="65" spans="1:9" s="112" customFormat="1" x14ac:dyDescent="0.35">
      <c r="A65" s="79">
        <v>64</v>
      </c>
      <c r="B65" s="79" t="str">
        <f>CONCATENATE(A65,LEFT(D65,1))</f>
        <v>64W</v>
      </c>
      <c r="C65" s="79">
        <v>1</v>
      </c>
      <c r="D65" s="83" t="s">
        <v>408</v>
      </c>
      <c r="E65" s="102" t="s">
        <v>189</v>
      </c>
      <c r="F65" s="102" t="s">
        <v>745</v>
      </c>
      <c r="G65" s="49" t="s">
        <v>10</v>
      </c>
      <c r="H65" s="82" t="s">
        <v>161</v>
      </c>
      <c r="I65" s="97"/>
    </row>
    <row r="66" spans="1:9" s="112" customFormat="1" x14ac:dyDescent="0.35">
      <c r="A66" s="79">
        <v>65</v>
      </c>
      <c r="B66" s="79" t="str">
        <f>CONCATENATE(A66,LEFT(D66,1))</f>
        <v>65W</v>
      </c>
      <c r="C66" s="79">
        <v>1</v>
      </c>
      <c r="D66" s="83" t="s">
        <v>408</v>
      </c>
      <c r="E66" s="102" t="s">
        <v>189</v>
      </c>
      <c r="F66" s="102" t="s">
        <v>745</v>
      </c>
      <c r="G66" s="49" t="s">
        <v>10</v>
      </c>
      <c r="H66" s="82" t="s">
        <v>162</v>
      </c>
      <c r="I66" s="97"/>
    </row>
    <row r="67" spans="1:9" s="112" customFormat="1" x14ac:dyDescent="0.35">
      <c r="A67" s="79">
        <v>66</v>
      </c>
      <c r="B67" s="79" t="str">
        <f>CONCATENATE(A67,LEFT(D67,1))</f>
        <v>66W</v>
      </c>
      <c r="C67" s="79">
        <v>1</v>
      </c>
      <c r="D67" s="83" t="s">
        <v>408</v>
      </c>
      <c r="E67" s="102" t="s">
        <v>189</v>
      </c>
      <c r="F67" s="102" t="s">
        <v>745</v>
      </c>
      <c r="G67" s="49" t="s">
        <v>10</v>
      </c>
      <c r="H67" s="82" t="s">
        <v>163</v>
      </c>
      <c r="I67" s="97"/>
    </row>
    <row r="68" spans="1:9" s="112" customFormat="1" x14ac:dyDescent="0.35">
      <c r="A68" s="79">
        <v>67</v>
      </c>
      <c r="B68" s="79" t="str">
        <f>CONCATENATE(A68,LEFT(D68,1))</f>
        <v>67W</v>
      </c>
      <c r="C68" s="79">
        <v>1</v>
      </c>
      <c r="D68" s="83" t="s">
        <v>408</v>
      </c>
      <c r="E68" s="102" t="s">
        <v>189</v>
      </c>
      <c r="F68" s="102" t="s">
        <v>745</v>
      </c>
      <c r="G68" s="49" t="s">
        <v>10</v>
      </c>
      <c r="H68" s="82" t="s">
        <v>164</v>
      </c>
      <c r="I68" s="97"/>
    </row>
    <row r="69" spans="1:9" s="112" customFormat="1" x14ac:dyDescent="0.35">
      <c r="A69" s="79">
        <v>68</v>
      </c>
      <c r="B69" s="79" t="str">
        <f>CONCATENATE(A69,LEFT(D69,1))</f>
        <v>68W</v>
      </c>
      <c r="C69" s="79">
        <v>1</v>
      </c>
      <c r="D69" s="83" t="s">
        <v>408</v>
      </c>
      <c r="E69" s="102" t="s">
        <v>189</v>
      </c>
      <c r="F69" s="102" t="s">
        <v>745</v>
      </c>
      <c r="G69" s="49" t="s">
        <v>10</v>
      </c>
      <c r="H69" s="82" t="s">
        <v>167</v>
      </c>
      <c r="I69" s="97"/>
    </row>
    <row r="70" spans="1:9" s="112" customFormat="1" x14ac:dyDescent="0.35">
      <c r="A70" s="79">
        <v>69</v>
      </c>
      <c r="B70" s="79" t="str">
        <f>CONCATENATE(A70,LEFT(D70,1))</f>
        <v>69W</v>
      </c>
      <c r="C70" s="79">
        <v>1</v>
      </c>
      <c r="D70" s="83" t="s">
        <v>408</v>
      </c>
      <c r="E70" s="102" t="s">
        <v>189</v>
      </c>
      <c r="F70" s="102" t="s">
        <v>745</v>
      </c>
      <c r="G70" s="49" t="s">
        <v>10</v>
      </c>
      <c r="H70" s="82" t="s">
        <v>255</v>
      </c>
      <c r="I70" s="97"/>
    </row>
    <row r="71" spans="1:9" s="112" customFormat="1" x14ac:dyDescent="0.35">
      <c r="A71" s="79">
        <v>70</v>
      </c>
      <c r="B71" s="79" t="str">
        <f>CONCATENATE(A71,LEFT(D71,1))</f>
        <v>70W</v>
      </c>
      <c r="C71" s="79">
        <v>1</v>
      </c>
      <c r="D71" s="83" t="s">
        <v>408</v>
      </c>
      <c r="E71" s="102" t="s">
        <v>189</v>
      </c>
      <c r="F71" s="102" t="s">
        <v>745</v>
      </c>
      <c r="G71" s="49" t="s">
        <v>10</v>
      </c>
      <c r="H71" s="82" t="s">
        <v>165</v>
      </c>
      <c r="I71" s="97"/>
    </row>
    <row r="72" spans="1:9" s="112" customFormat="1" x14ac:dyDescent="0.35">
      <c r="A72" s="79">
        <v>71</v>
      </c>
      <c r="B72" s="79" t="str">
        <f>CONCATENATE(A72,LEFT(D72,1))</f>
        <v>71W</v>
      </c>
      <c r="C72" s="79">
        <v>1</v>
      </c>
      <c r="D72" s="83" t="s">
        <v>408</v>
      </c>
      <c r="E72" s="102" t="s">
        <v>189</v>
      </c>
      <c r="F72" s="102" t="s">
        <v>745</v>
      </c>
      <c r="G72" s="49" t="s">
        <v>10</v>
      </c>
      <c r="H72" s="82" t="s">
        <v>166</v>
      </c>
      <c r="I72" s="97"/>
    </row>
    <row r="73" spans="1:9" s="112" customFormat="1" x14ac:dyDescent="0.35">
      <c r="A73" s="79">
        <v>72</v>
      </c>
      <c r="B73" s="79" t="str">
        <f>CONCATENATE(A73,LEFT(D73,1))</f>
        <v>72W</v>
      </c>
      <c r="C73" s="79">
        <v>1</v>
      </c>
      <c r="D73" s="83" t="s">
        <v>408</v>
      </c>
      <c r="E73" s="102" t="s">
        <v>189</v>
      </c>
      <c r="F73" s="102" t="s">
        <v>745</v>
      </c>
      <c r="G73" s="49" t="s">
        <v>10</v>
      </c>
      <c r="H73" s="82" t="s">
        <v>168</v>
      </c>
      <c r="I73" s="97"/>
    </row>
    <row r="74" spans="1:9" s="112" customFormat="1" x14ac:dyDescent="0.35">
      <c r="A74" s="79">
        <v>73</v>
      </c>
      <c r="B74" s="79" t="str">
        <f>CONCATENATE(A74,LEFT(D74,1))</f>
        <v>73W</v>
      </c>
      <c r="C74" s="79">
        <v>1</v>
      </c>
      <c r="D74" s="83" t="s">
        <v>408</v>
      </c>
      <c r="E74" s="102" t="s">
        <v>189</v>
      </c>
      <c r="F74" s="102" t="s">
        <v>745</v>
      </c>
      <c r="G74" s="49" t="s">
        <v>10</v>
      </c>
      <c r="H74" s="82" t="s">
        <v>169</v>
      </c>
      <c r="I74" s="97"/>
    </row>
    <row r="75" spans="1:9" s="112" customFormat="1" x14ac:dyDescent="0.35">
      <c r="A75" s="79">
        <v>74</v>
      </c>
      <c r="B75" s="79" t="str">
        <f>CONCATENATE(A75,LEFT(D75,1))</f>
        <v>74W</v>
      </c>
      <c r="C75" s="79">
        <v>1</v>
      </c>
      <c r="D75" s="83" t="s">
        <v>408</v>
      </c>
      <c r="E75" s="102" t="s">
        <v>189</v>
      </c>
      <c r="F75" s="102" t="s">
        <v>745</v>
      </c>
      <c r="G75" s="49" t="s">
        <v>10</v>
      </c>
      <c r="H75" s="82" t="s">
        <v>170</v>
      </c>
      <c r="I75" s="97"/>
    </row>
    <row r="76" spans="1:9" s="112" customFormat="1" x14ac:dyDescent="0.35">
      <c r="A76" s="79">
        <v>75</v>
      </c>
      <c r="B76" s="79" t="str">
        <f>CONCATENATE(A76,LEFT(D76,1))</f>
        <v>75W</v>
      </c>
      <c r="C76" s="79">
        <v>1</v>
      </c>
      <c r="D76" s="83" t="s">
        <v>408</v>
      </c>
      <c r="E76" s="102" t="s">
        <v>189</v>
      </c>
      <c r="F76" s="102" t="s">
        <v>745</v>
      </c>
      <c r="G76" s="49" t="s">
        <v>10</v>
      </c>
      <c r="H76" s="82" t="s">
        <v>171</v>
      </c>
      <c r="I76" s="97"/>
    </row>
    <row r="77" spans="1:9" s="112" customFormat="1" x14ac:dyDescent="0.35">
      <c r="A77" s="79">
        <v>76</v>
      </c>
      <c r="B77" s="79" t="str">
        <f>CONCATENATE(A77,LEFT(D77,1))</f>
        <v>76W</v>
      </c>
      <c r="C77" s="79">
        <v>1</v>
      </c>
      <c r="D77" s="83" t="s">
        <v>408</v>
      </c>
      <c r="E77" s="102" t="s">
        <v>189</v>
      </c>
      <c r="F77" s="102" t="s">
        <v>745</v>
      </c>
      <c r="G77" s="49" t="s">
        <v>10</v>
      </c>
      <c r="H77" s="82" t="s">
        <v>172</v>
      </c>
      <c r="I77" s="97"/>
    </row>
    <row r="78" spans="1:9" s="112" customFormat="1" x14ac:dyDescent="0.35">
      <c r="A78" s="79">
        <v>77</v>
      </c>
      <c r="B78" s="79" t="str">
        <f>CONCATENATE(A78,LEFT(D78,1))</f>
        <v>77W</v>
      </c>
      <c r="C78" s="79">
        <v>1</v>
      </c>
      <c r="D78" s="83" t="s">
        <v>408</v>
      </c>
      <c r="E78" s="102" t="s">
        <v>189</v>
      </c>
      <c r="F78" s="102" t="s">
        <v>745</v>
      </c>
      <c r="G78" s="49" t="s">
        <v>10</v>
      </c>
      <c r="H78" s="82" t="s">
        <v>173</v>
      </c>
      <c r="I78" s="97"/>
    </row>
    <row r="79" spans="1:9" s="112" customFormat="1" x14ac:dyDescent="0.35">
      <c r="A79" s="79">
        <v>78</v>
      </c>
      <c r="B79" s="79" t="str">
        <f>CONCATENATE(A79,LEFT(D79,1))</f>
        <v>78W</v>
      </c>
      <c r="C79" s="79">
        <v>1</v>
      </c>
      <c r="D79" s="83" t="s">
        <v>408</v>
      </c>
      <c r="E79" s="102" t="s">
        <v>189</v>
      </c>
      <c r="F79" s="102" t="s">
        <v>745</v>
      </c>
      <c r="G79" s="49" t="s">
        <v>10</v>
      </c>
      <c r="H79" s="82" t="s">
        <v>174</v>
      </c>
      <c r="I79" s="97"/>
    </row>
    <row r="80" spans="1:9" s="112" customFormat="1" x14ac:dyDescent="0.35">
      <c r="A80" s="79">
        <v>79</v>
      </c>
      <c r="B80" s="79" t="str">
        <f>CONCATENATE(A80,LEFT(D80,1))</f>
        <v>79W</v>
      </c>
      <c r="C80" s="79">
        <v>1</v>
      </c>
      <c r="D80" s="82" t="s">
        <v>408</v>
      </c>
      <c r="E80" s="102" t="s">
        <v>189</v>
      </c>
      <c r="F80" s="102" t="s">
        <v>745</v>
      </c>
      <c r="G80" s="49" t="s">
        <v>10</v>
      </c>
      <c r="H80" s="82" t="s">
        <v>175</v>
      </c>
      <c r="I80" s="97"/>
    </row>
    <row r="81" spans="1:9" s="112" customFormat="1" x14ac:dyDescent="0.35">
      <c r="A81" s="79">
        <v>80</v>
      </c>
      <c r="B81" s="79" t="str">
        <f>CONCATENATE(A81,LEFT(D81,1))</f>
        <v>80W</v>
      </c>
      <c r="C81" s="79">
        <v>1</v>
      </c>
      <c r="D81" s="82" t="s">
        <v>408</v>
      </c>
      <c r="E81" s="102" t="s">
        <v>189</v>
      </c>
      <c r="F81" s="102" t="s">
        <v>745</v>
      </c>
      <c r="G81" s="49" t="s">
        <v>10</v>
      </c>
      <c r="H81" s="82" t="s">
        <v>176</v>
      </c>
      <c r="I81" s="97"/>
    </row>
    <row r="82" spans="1:9" s="112" customFormat="1" x14ac:dyDescent="0.35">
      <c r="A82" s="79">
        <v>81</v>
      </c>
      <c r="B82" s="79" t="str">
        <f>CONCATENATE(A82,LEFT(D82,1))</f>
        <v>81W</v>
      </c>
      <c r="C82" s="79">
        <v>1</v>
      </c>
      <c r="D82" s="82" t="s">
        <v>408</v>
      </c>
      <c r="E82" s="102" t="s">
        <v>189</v>
      </c>
      <c r="F82" s="102" t="s">
        <v>745</v>
      </c>
      <c r="G82" s="49" t="s">
        <v>10</v>
      </c>
      <c r="H82" s="82" t="s">
        <v>177</v>
      </c>
      <c r="I82" s="97"/>
    </row>
    <row r="83" spans="1:9" s="112" customFormat="1" x14ac:dyDescent="0.35">
      <c r="A83" s="79">
        <v>82</v>
      </c>
      <c r="B83" s="79" t="str">
        <f>CONCATENATE(A83,LEFT(D83,1))</f>
        <v>82W</v>
      </c>
      <c r="C83" s="79">
        <v>1</v>
      </c>
      <c r="D83" s="82" t="s">
        <v>408</v>
      </c>
      <c r="E83" s="102" t="s">
        <v>189</v>
      </c>
      <c r="F83" s="102" t="s">
        <v>745</v>
      </c>
      <c r="G83" s="49" t="s">
        <v>10</v>
      </c>
      <c r="H83" s="82" t="s">
        <v>178</v>
      </c>
      <c r="I83" s="97"/>
    </row>
    <row r="84" spans="1:9" s="112" customFormat="1" x14ac:dyDescent="0.35">
      <c r="A84" s="79">
        <v>83</v>
      </c>
      <c r="B84" s="79" t="str">
        <f>CONCATENATE(A84,LEFT(D84,1))</f>
        <v>83W</v>
      </c>
      <c r="C84" s="79">
        <v>1</v>
      </c>
      <c r="D84" s="82" t="s">
        <v>408</v>
      </c>
      <c r="E84" s="102" t="s">
        <v>189</v>
      </c>
      <c r="F84" s="102" t="s">
        <v>745</v>
      </c>
      <c r="G84" s="49" t="s">
        <v>10</v>
      </c>
      <c r="H84" s="82" t="s">
        <v>179</v>
      </c>
      <c r="I84" s="97"/>
    </row>
    <row r="85" spans="1:9" s="112" customFormat="1" x14ac:dyDescent="0.35">
      <c r="A85" s="79">
        <v>84</v>
      </c>
      <c r="B85" s="79" t="str">
        <f>CONCATENATE(A85,LEFT(D85,1))</f>
        <v>84W</v>
      </c>
      <c r="C85" s="79">
        <v>1</v>
      </c>
      <c r="D85" s="82" t="s">
        <v>408</v>
      </c>
      <c r="E85" s="102" t="s">
        <v>189</v>
      </c>
      <c r="F85" s="102" t="s">
        <v>745</v>
      </c>
      <c r="G85" s="49" t="s">
        <v>10</v>
      </c>
      <c r="H85" s="82" t="s">
        <v>180</v>
      </c>
      <c r="I85" s="97"/>
    </row>
    <row r="86" spans="1:9" s="112" customFormat="1" x14ac:dyDescent="0.35">
      <c r="A86" s="79">
        <v>85</v>
      </c>
      <c r="B86" s="79" t="str">
        <f>CONCATENATE(A86,LEFT(D86,1))</f>
        <v>85W</v>
      </c>
      <c r="C86" s="79">
        <v>1</v>
      </c>
      <c r="D86" s="82" t="s">
        <v>408</v>
      </c>
      <c r="E86" s="102" t="s">
        <v>189</v>
      </c>
      <c r="F86" s="102" t="s">
        <v>745</v>
      </c>
      <c r="G86" s="49" t="s">
        <v>10</v>
      </c>
      <c r="H86" s="82" t="s">
        <v>181</v>
      </c>
      <c r="I86" s="97"/>
    </row>
    <row r="87" spans="1:9" s="112" customFormat="1" x14ac:dyDescent="0.35">
      <c r="A87" s="79">
        <v>86</v>
      </c>
      <c r="B87" s="79" t="str">
        <f>CONCATENATE(A87,LEFT(D87,1))</f>
        <v>86W</v>
      </c>
      <c r="C87" s="79">
        <v>1</v>
      </c>
      <c r="D87" s="82" t="s">
        <v>408</v>
      </c>
      <c r="E87" s="102" t="s">
        <v>189</v>
      </c>
      <c r="F87" s="102" t="s">
        <v>745</v>
      </c>
      <c r="G87" s="49" t="s">
        <v>10</v>
      </c>
      <c r="H87" s="82" t="s">
        <v>182</v>
      </c>
      <c r="I87" s="97"/>
    </row>
    <row r="88" spans="1:9" s="112" customFormat="1" x14ac:dyDescent="0.35">
      <c r="A88" s="79">
        <v>87</v>
      </c>
      <c r="B88" s="79" t="str">
        <f>CONCATENATE(A88,LEFT(D88,1))</f>
        <v>87W</v>
      </c>
      <c r="C88" s="79">
        <v>1</v>
      </c>
      <c r="D88" s="82" t="s">
        <v>408</v>
      </c>
      <c r="E88" s="102" t="s">
        <v>189</v>
      </c>
      <c r="F88" s="102" t="s">
        <v>745</v>
      </c>
      <c r="G88" s="49" t="s">
        <v>10</v>
      </c>
      <c r="H88" s="82" t="s">
        <v>183</v>
      </c>
      <c r="I88" s="97"/>
    </row>
    <row r="89" spans="1:9" s="112" customFormat="1" x14ac:dyDescent="0.35">
      <c r="A89" s="79">
        <v>88</v>
      </c>
      <c r="B89" s="79" t="str">
        <f>CONCATENATE(A89,LEFT(D89,1))</f>
        <v>88W</v>
      </c>
      <c r="C89" s="79">
        <v>1</v>
      </c>
      <c r="D89" s="82" t="s">
        <v>408</v>
      </c>
      <c r="E89" s="102" t="s">
        <v>189</v>
      </c>
      <c r="F89" s="102" t="s">
        <v>745</v>
      </c>
      <c r="G89" s="49" t="s">
        <v>10</v>
      </c>
      <c r="H89" s="82" t="s">
        <v>184</v>
      </c>
      <c r="I89" s="97"/>
    </row>
    <row r="90" spans="1:9" s="112" customFormat="1" x14ac:dyDescent="0.35">
      <c r="A90" s="79">
        <v>89</v>
      </c>
      <c r="B90" s="79" t="str">
        <f>CONCATENATE(A90,LEFT(D90,1))</f>
        <v>89W</v>
      </c>
      <c r="C90" s="79">
        <v>1</v>
      </c>
      <c r="D90" s="82" t="s">
        <v>408</v>
      </c>
      <c r="E90" s="102" t="s">
        <v>189</v>
      </c>
      <c r="F90" s="102" t="s">
        <v>745</v>
      </c>
      <c r="G90" s="49" t="s">
        <v>10</v>
      </c>
      <c r="H90" s="82" t="s">
        <v>185</v>
      </c>
      <c r="I90" s="97"/>
    </row>
    <row r="91" spans="1:9" s="112" customFormat="1" x14ac:dyDescent="0.35">
      <c r="A91" s="79">
        <v>90</v>
      </c>
      <c r="B91" s="79" t="str">
        <f>CONCATENATE(A91,LEFT(D91,1))</f>
        <v>90W</v>
      </c>
      <c r="C91" s="79">
        <v>1</v>
      </c>
      <c r="D91" s="82" t="s">
        <v>408</v>
      </c>
      <c r="E91" s="102" t="s">
        <v>189</v>
      </c>
      <c r="F91" s="102" t="s">
        <v>745</v>
      </c>
      <c r="G91" s="49" t="s">
        <v>10</v>
      </c>
      <c r="H91" s="82" t="s">
        <v>186</v>
      </c>
      <c r="I91" s="97"/>
    </row>
    <row r="92" spans="1:9" s="115" customFormat="1" ht="18" x14ac:dyDescent="0.4">
      <c r="A92" s="79">
        <v>91</v>
      </c>
      <c r="B92" s="79" t="str">
        <f t="shared" ref="B92:B130" si="1">CONCATENATE(A92,LEFT(F92,1))</f>
        <v>91T</v>
      </c>
      <c r="C92" s="92">
        <v>1</v>
      </c>
      <c r="D92" s="94" t="s">
        <v>746</v>
      </c>
      <c r="E92" s="94" t="s">
        <v>371</v>
      </c>
      <c r="F92" s="94" t="s">
        <v>0</v>
      </c>
      <c r="G92" s="103" t="s">
        <v>10</v>
      </c>
      <c r="H92" s="94" t="s">
        <v>290</v>
      </c>
      <c r="I92" s="100"/>
    </row>
    <row r="93" spans="1:9" s="113" customFormat="1" x14ac:dyDescent="0.35">
      <c r="A93" s="79">
        <v>92</v>
      </c>
      <c r="B93" s="79" t="str">
        <f t="shared" si="1"/>
        <v>92T</v>
      </c>
      <c r="C93" s="86">
        <v>1</v>
      </c>
      <c r="D93" s="90" t="s">
        <v>746</v>
      </c>
      <c r="E93" s="90" t="s">
        <v>372</v>
      </c>
      <c r="F93" s="90" t="s">
        <v>0</v>
      </c>
      <c r="G93" s="49" t="s">
        <v>10</v>
      </c>
      <c r="H93" s="90" t="s">
        <v>294</v>
      </c>
      <c r="I93" s="97"/>
    </row>
    <row r="94" spans="1:9" s="113" customFormat="1" x14ac:dyDescent="0.35">
      <c r="A94" s="79">
        <v>93</v>
      </c>
      <c r="B94" s="79" t="str">
        <f t="shared" si="1"/>
        <v>93T</v>
      </c>
      <c r="C94" s="86">
        <v>1</v>
      </c>
      <c r="D94" s="90" t="s">
        <v>746</v>
      </c>
      <c r="E94" s="90" t="s">
        <v>373</v>
      </c>
      <c r="F94" s="90" t="s">
        <v>0</v>
      </c>
      <c r="G94" s="49" t="s">
        <v>10</v>
      </c>
      <c r="H94" s="90" t="s">
        <v>297</v>
      </c>
      <c r="I94" s="97"/>
    </row>
    <row r="95" spans="1:9" s="113" customFormat="1" x14ac:dyDescent="0.35">
      <c r="A95" s="79">
        <v>94</v>
      </c>
      <c r="B95" s="79" t="str">
        <f t="shared" si="1"/>
        <v>94T</v>
      </c>
      <c r="C95" s="86">
        <v>1</v>
      </c>
      <c r="D95" s="90" t="s">
        <v>746</v>
      </c>
      <c r="E95" s="90" t="s">
        <v>374</v>
      </c>
      <c r="F95" s="90" t="s">
        <v>0</v>
      </c>
      <c r="G95" s="49" t="s">
        <v>10</v>
      </c>
      <c r="H95" s="90" t="s">
        <v>293</v>
      </c>
      <c r="I95" s="97"/>
    </row>
    <row r="96" spans="1:9" s="113" customFormat="1" x14ac:dyDescent="0.35">
      <c r="A96" s="79">
        <v>95</v>
      </c>
      <c r="B96" s="79" t="str">
        <f t="shared" si="1"/>
        <v>95T</v>
      </c>
      <c r="C96" s="86">
        <v>1</v>
      </c>
      <c r="D96" s="90" t="s">
        <v>746</v>
      </c>
      <c r="E96" s="90" t="s">
        <v>375</v>
      </c>
      <c r="F96" s="90" t="s">
        <v>0</v>
      </c>
      <c r="G96" s="49" t="s">
        <v>10</v>
      </c>
      <c r="H96" s="90" t="s">
        <v>208</v>
      </c>
      <c r="I96" s="97"/>
    </row>
    <row r="97" spans="1:9" s="113" customFormat="1" x14ac:dyDescent="0.35">
      <c r="A97" s="79">
        <v>96</v>
      </c>
      <c r="B97" s="79" t="str">
        <f t="shared" si="1"/>
        <v>96T</v>
      </c>
      <c r="C97" s="86">
        <v>1</v>
      </c>
      <c r="D97" s="90" t="s">
        <v>746</v>
      </c>
      <c r="E97" s="90" t="s">
        <v>376</v>
      </c>
      <c r="F97" s="90" t="s">
        <v>0</v>
      </c>
      <c r="G97" s="49" t="s">
        <v>10</v>
      </c>
      <c r="H97" s="90" t="s">
        <v>191</v>
      </c>
      <c r="I97" s="97"/>
    </row>
    <row r="98" spans="1:9" s="113" customFormat="1" x14ac:dyDescent="0.35">
      <c r="A98" s="79">
        <v>97</v>
      </c>
      <c r="B98" s="79" t="str">
        <f t="shared" si="1"/>
        <v>97T</v>
      </c>
      <c r="C98" s="86">
        <v>1</v>
      </c>
      <c r="D98" s="90" t="s">
        <v>746</v>
      </c>
      <c r="E98" s="90" t="s">
        <v>377</v>
      </c>
      <c r="F98" s="90" t="s">
        <v>0</v>
      </c>
      <c r="G98" s="49" t="s">
        <v>10</v>
      </c>
      <c r="H98" s="90" t="s">
        <v>192</v>
      </c>
      <c r="I98" s="97"/>
    </row>
    <row r="99" spans="1:9" s="113" customFormat="1" x14ac:dyDescent="0.35">
      <c r="A99" s="79">
        <v>98</v>
      </c>
      <c r="B99" s="79" t="str">
        <f t="shared" si="1"/>
        <v>98T</v>
      </c>
      <c r="C99" s="86">
        <v>1</v>
      </c>
      <c r="D99" s="90" t="s">
        <v>746</v>
      </c>
      <c r="E99" s="90" t="s">
        <v>378</v>
      </c>
      <c r="F99" s="90" t="s">
        <v>0</v>
      </c>
      <c r="G99" s="49" t="s">
        <v>10</v>
      </c>
      <c r="H99" s="90" t="s">
        <v>194</v>
      </c>
      <c r="I99" s="97"/>
    </row>
    <row r="100" spans="1:9" s="113" customFormat="1" x14ac:dyDescent="0.35">
      <c r="A100" s="79">
        <v>99</v>
      </c>
      <c r="B100" s="79" t="str">
        <f t="shared" si="1"/>
        <v>99T</v>
      </c>
      <c r="C100" s="86">
        <v>1</v>
      </c>
      <c r="D100" s="90" t="s">
        <v>746</v>
      </c>
      <c r="E100" s="90" t="s">
        <v>379</v>
      </c>
      <c r="F100" s="90" t="s">
        <v>0</v>
      </c>
      <c r="G100" s="49" t="s">
        <v>10</v>
      </c>
      <c r="H100" s="90" t="s">
        <v>292</v>
      </c>
      <c r="I100" s="97"/>
    </row>
    <row r="101" spans="1:9" s="113" customFormat="1" x14ac:dyDescent="0.35">
      <c r="A101" s="79">
        <v>100</v>
      </c>
      <c r="B101" s="79" t="str">
        <f t="shared" si="1"/>
        <v>100T</v>
      </c>
      <c r="C101" s="86">
        <v>1</v>
      </c>
      <c r="D101" s="90" t="s">
        <v>746</v>
      </c>
      <c r="E101" s="90" t="s">
        <v>380</v>
      </c>
      <c r="F101" s="90" t="s">
        <v>0</v>
      </c>
      <c r="G101" s="49" t="s">
        <v>10</v>
      </c>
      <c r="H101" s="90" t="s">
        <v>196</v>
      </c>
      <c r="I101" s="97"/>
    </row>
    <row r="102" spans="1:9" s="113" customFormat="1" x14ac:dyDescent="0.35">
      <c r="A102" s="79">
        <v>101</v>
      </c>
      <c r="B102" s="79" t="str">
        <f t="shared" si="1"/>
        <v>101T</v>
      </c>
      <c r="C102" s="86">
        <v>1</v>
      </c>
      <c r="D102" s="90" t="s">
        <v>746</v>
      </c>
      <c r="E102" s="90" t="s">
        <v>381</v>
      </c>
      <c r="F102" s="90" t="s">
        <v>0</v>
      </c>
      <c r="G102" s="49" t="s">
        <v>10</v>
      </c>
      <c r="H102" s="90" t="s">
        <v>195</v>
      </c>
      <c r="I102" s="97"/>
    </row>
    <row r="103" spans="1:9" s="113" customFormat="1" x14ac:dyDescent="0.35">
      <c r="A103" s="79">
        <v>102</v>
      </c>
      <c r="B103" s="79" t="str">
        <f t="shared" si="1"/>
        <v>102T</v>
      </c>
      <c r="C103" s="86">
        <v>2</v>
      </c>
      <c r="D103" s="90" t="s">
        <v>746</v>
      </c>
      <c r="E103" s="90" t="s">
        <v>382</v>
      </c>
      <c r="F103" s="90" t="s">
        <v>0</v>
      </c>
      <c r="G103" s="49" t="s">
        <v>10</v>
      </c>
      <c r="H103" s="90" t="s">
        <v>209</v>
      </c>
      <c r="I103" s="97"/>
    </row>
    <row r="104" spans="1:9" s="113" customFormat="1" x14ac:dyDescent="0.35">
      <c r="A104" s="79">
        <v>103</v>
      </c>
      <c r="B104" s="79" t="str">
        <f t="shared" si="1"/>
        <v>103T</v>
      </c>
      <c r="C104" s="86">
        <v>2</v>
      </c>
      <c r="D104" s="90" t="s">
        <v>746</v>
      </c>
      <c r="E104" s="90" t="s">
        <v>383</v>
      </c>
      <c r="F104" s="90" t="s">
        <v>0</v>
      </c>
      <c r="G104" s="49" t="s">
        <v>10</v>
      </c>
      <c r="H104" s="90" t="s">
        <v>295</v>
      </c>
      <c r="I104" s="97"/>
    </row>
    <row r="105" spans="1:9" s="113" customFormat="1" x14ac:dyDescent="0.35">
      <c r="A105" s="79">
        <v>104</v>
      </c>
      <c r="B105" s="79" t="str">
        <f t="shared" si="1"/>
        <v>104T</v>
      </c>
      <c r="C105" s="86">
        <v>2</v>
      </c>
      <c r="D105" s="90" t="s">
        <v>746</v>
      </c>
      <c r="E105" s="90" t="s">
        <v>384</v>
      </c>
      <c r="F105" s="90" t="s">
        <v>0</v>
      </c>
      <c r="G105" s="49" t="s">
        <v>10</v>
      </c>
      <c r="H105" s="90" t="s">
        <v>283</v>
      </c>
      <c r="I105" s="97"/>
    </row>
    <row r="106" spans="1:9" s="113" customFormat="1" x14ac:dyDescent="0.35">
      <c r="A106" s="79">
        <v>105</v>
      </c>
      <c r="B106" s="79" t="str">
        <f t="shared" si="1"/>
        <v>105T</v>
      </c>
      <c r="C106" s="86">
        <v>2</v>
      </c>
      <c r="D106" s="90" t="s">
        <v>746</v>
      </c>
      <c r="E106" s="90" t="s">
        <v>385</v>
      </c>
      <c r="F106" s="90" t="s">
        <v>0</v>
      </c>
      <c r="G106" s="49" t="s">
        <v>10</v>
      </c>
      <c r="H106" s="90" t="s">
        <v>301</v>
      </c>
      <c r="I106" s="97"/>
    </row>
    <row r="107" spans="1:9" s="113" customFormat="1" x14ac:dyDescent="0.35">
      <c r="A107" s="79">
        <v>106</v>
      </c>
      <c r="B107" s="79" t="str">
        <f t="shared" si="1"/>
        <v>106T</v>
      </c>
      <c r="C107" s="86">
        <v>2</v>
      </c>
      <c r="D107" s="90" t="s">
        <v>746</v>
      </c>
      <c r="E107" s="90" t="s">
        <v>386</v>
      </c>
      <c r="F107" s="90" t="s">
        <v>0</v>
      </c>
      <c r="G107" s="49" t="s">
        <v>10</v>
      </c>
      <c r="H107" s="90" t="s">
        <v>193</v>
      </c>
      <c r="I107" s="97"/>
    </row>
    <row r="108" spans="1:9" s="113" customFormat="1" x14ac:dyDescent="0.35">
      <c r="A108" s="79">
        <v>107</v>
      </c>
      <c r="B108" s="79" t="str">
        <f t="shared" si="1"/>
        <v>107T</v>
      </c>
      <c r="C108" s="86">
        <v>2</v>
      </c>
      <c r="D108" s="90" t="s">
        <v>746</v>
      </c>
      <c r="E108" s="90" t="s">
        <v>387</v>
      </c>
      <c r="F108" s="90" t="s">
        <v>0</v>
      </c>
      <c r="G108" s="49" t="s">
        <v>10</v>
      </c>
      <c r="H108" s="90" t="s">
        <v>291</v>
      </c>
      <c r="I108" s="97"/>
    </row>
    <row r="109" spans="1:9" s="113" customFormat="1" x14ac:dyDescent="0.35">
      <c r="A109" s="79">
        <v>108</v>
      </c>
      <c r="B109" s="79" t="str">
        <f t="shared" si="1"/>
        <v>108T</v>
      </c>
      <c r="C109" s="86">
        <v>2</v>
      </c>
      <c r="D109" s="90" t="s">
        <v>746</v>
      </c>
      <c r="E109" s="90" t="s">
        <v>388</v>
      </c>
      <c r="F109" s="90" t="s">
        <v>0</v>
      </c>
      <c r="G109" s="49" t="s">
        <v>10</v>
      </c>
      <c r="H109" s="90" t="s">
        <v>282</v>
      </c>
      <c r="I109" s="97"/>
    </row>
    <row r="110" spans="1:9" x14ac:dyDescent="0.35">
      <c r="A110" s="79">
        <v>109</v>
      </c>
      <c r="B110" s="79" t="str">
        <f t="shared" si="1"/>
        <v>109T</v>
      </c>
      <c r="C110" s="86">
        <v>3</v>
      </c>
      <c r="D110" s="90" t="s">
        <v>746</v>
      </c>
      <c r="E110" s="90" t="s">
        <v>389</v>
      </c>
      <c r="F110" s="90" t="s">
        <v>0</v>
      </c>
      <c r="G110" s="86" t="s">
        <v>10</v>
      </c>
      <c r="H110" s="90" t="s">
        <v>370</v>
      </c>
    </row>
    <row r="111" spans="1:9" x14ac:dyDescent="0.35">
      <c r="A111" s="79">
        <v>110</v>
      </c>
      <c r="B111" s="79" t="str">
        <f t="shared" si="1"/>
        <v>110T</v>
      </c>
      <c r="C111" s="86">
        <v>3</v>
      </c>
      <c r="D111" s="90" t="s">
        <v>746</v>
      </c>
      <c r="E111" s="90" t="s">
        <v>390</v>
      </c>
      <c r="F111" s="90" t="s">
        <v>0</v>
      </c>
      <c r="G111" s="86" t="s">
        <v>10</v>
      </c>
      <c r="H111" s="90" t="s">
        <v>370</v>
      </c>
    </row>
    <row r="112" spans="1:9" x14ac:dyDescent="0.35">
      <c r="A112" s="79">
        <v>111</v>
      </c>
      <c r="B112" s="79" t="str">
        <f t="shared" si="1"/>
        <v>111T</v>
      </c>
      <c r="C112" s="86">
        <v>3</v>
      </c>
      <c r="D112" s="90" t="s">
        <v>746</v>
      </c>
      <c r="E112" s="90" t="s">
        <v>391</v>
      </c>
      <c r="F112" s="90" t="s">
        <v>0</v>
      </c>
      <c r="G112" s="86" t="s">
        <v>10</v>
      </c>
      <c r="H112" s="90" t="s">
        <v>370</v>
      </c>
    </row>
    <row r="113" spans="1:9" x14ac:dyDescent="0.35">
      <c r="A113" s="79">
        <v>112</v>
      </c>
      <c r="B113" s="79" t="str">
        <f t="shared" si="1"/>
        <v>112T</v>
      </c>
      <c r="C113" s="86">
        <v>3</v>
      </c>
      <c r="D113" s="90" t="s">
        <v>746</v>
      </c>
      <c r="E113" s="90" t="s">
        <v>392</v>
      </c>
      <c r="F113" s="90" t="s">
        <v>0</v>
      </c>
      <c r="G113" s="86" t="s">
        <v>10</v>
      </c>
      <c r="H113" s="90" t="s">
        <v>370</v>
      </c>
    </row>
    <row r="114" spans="1:9" x14ac:dyDescent="0.35">
      <c r="A114" s="79">
        <v>113</v>
      </c>
      <c r="B114" s="79" t="str">
        <f t="shared" si="1"/>
        <v>113T</v>
      </c>
      <c r="C114" s="86">
        <v>3</v>
      </c>
      <c r="D114" s="90" t="s">
        <v>746</v>
      </c>
      <c r="E114" s="90" t="s">
        <v>393</v>
      </c>
      <c r="F114" s="90" t="s">
        <v>0</v>
      </c>
      <c r="G114" s="86" t="s">
        <v>10</v>
      </c>
      <c r="H114" s="90" t="s">
        <v>370</v>
      </c>
    </row>
    <row r="115" spans="1:9" x14ac:dyDescent="0.35">
      <c r="A115" s="79">
        <v>114</v>
      </c>
      <c r="B115" s="79" t="str">
        <f t="shared" si="1"/>
        <v>114T</v>
      </c>
      <c r="C115" s="86">
        <v>3</v>
      </c>
      <c r="D115" s="90" t="s">
        <v>746</v>
      </c>
      <c r="E115" s="90" t="s">
        <v>394</v>
      </c>
      <c r="F115" s="90" t="s">
        <v>0</v>
      </c>
      <c r="G115" s="86" t="s">
        <v>10</v>
      </c>
      <c r="H115" s="90" t="s">
        <v>370</v>
      </c>
    </row>
    <row r="116" spans="1:9" x14ac:dyDescent="0.35">
      <c r="A116" s="79">
        <v>115</v>
      </c>
      <c r="B116" s="79" t="str">
        <f t="shared" si="1"/>
        <v>115T</v>
      </c>
      <c r="C116" s="86">
        <v>3</v>
      </c>
      <c r="D116" s="90" t="s">
        <v>746</v>
      </c>
      <c r="E116" s="90" t="s">
        <v>395</v>
      </c>
      <c r="F116" s="90" t="s">
        <v>0</v>
      </c>
      <c r="G116" s="86" t="s">
        <v>10</v>
      </c>
      <c r="H116" s="90" t="s">
        <v>370</v>
      </c>
    </row>
    <row r="117" spans="1:9" x14ac:dyDescent="0.35">
      <c r="A117" s="79">
        <v>116</v>
      </c>
      <c r="B117" s="79" t="str">
        <f t="shared" si="1"/>
        <v>116T</v>
      </c>
      <c r="C117" s="86">
        <v>3</v>
      </c>
      <c r="D117" s="90" t="s">
        <v>746</v>
      </c>
      <c r="E117" s="90" t="s">
        <v>396</v>
      </c>
      <c r="F117" s="90" t="s">
        <v>0</v>
      </c>
      <c r="G117" s="86" t="s">
        <v>10</v>
      </c>
      <c r="H117" s="90" t="s">
        <v>370</v>
      </c>
    </row>
    <row r="118" spans="1:9" x14ac:dyDescent="0.35">
      <c r="A118" s="79">
        <v>117</v>
      </c>
      <c r="B118" s="79" t="str">
        <f t="shared" si="1"/>
        <v>117T</v>
      </c>
      <c r="C118" s="86">
        <v>3</v>
      </c>
      <c r="D118" s="90" t="s">
        <v>746</v>
      </c>
      <c r="E118" s="90" t="s">
        <v>397</v>
      </c>
      <c r="F118" s="90" t="s">
        <v>0</v>
      </c>
      <c r="G118" s="86" t="s">
        <v>10</v>
      </c>
      <c r="H118" s="90" t="s">
        <v>370</v>
      </c>
    </row>
    <row r="119" spans="1:9" x14ac:dyDescent="0.35">
      <c r="A119" s="79">
        <v>118</v>
      </c>
      <c r="B119" s="79" t="str">
        <f t="shared" si="1"/>
        <v>118T</v>
      </c>
      <c r="C119" s="86">
        <v>3</v>
      </c>
      <c r="D119" s="90" t="s">
        <v>746</v>
      </c>
      <c r="E119" s="90" t="s">
        <v>398</v>
      </c>
      <c r="F119" s="90" t="s">
        <v>0</v>
      </c>
      <c r="G119" s="86" t="s">
        <v>10</v>
      </c>
      <c r="H119" s="90" t="s">
        <v>370</v>
      </c>
    </row>
    <row r="120" spans="1:9" x14ac:dyDescent="0.35">
      <c r="A120" s="79">
        <v>119</v>
      </c>
      <c r="B120" s="79" t="str">
        <f t="shared" si="1"/>
        <v>119T</v>
      </c>
      <c r="C120" s="86">
        <v>3</v>
      </c>
      <c r="D120" s="90" t="s">
        <v>746</v>
      </c>
      <c r="E120" s="90" t="s">
        <v>399</v>
      </c>
      <c r="F120" s="90" t="s">
        <v>0</v>
      </c>
      <c r="G120" s="86" t="s">
        <v>10</v>
      </c>
      <c r="H120" s="90" t="s">
        <v>370</v>
      </c>
    </row>
    <row r="121" spans="1:9" x14ac:dyDescent="0.35">
      <c r="A121" s="79">
        <v>120</v>
      </c>
      <c r="B121" s="79" t="str">
        <f t="shared" si="1"/>
        <v>120T</v>
      </c>
      <c r="C121" s="86">
        <v>4</v>
      </c>
      <c r="D121" s="90" t="s">
        <v>746</v>
      </c>
      <c r="E121" s="84" t="s">
        <v>442</v>
      </c>
      <c r="F121" s="84" t="s">
        <v>0</v>
      </c>
      <c r="G121" s="86" t="s">
        <v>10</v>
      </c>
      <c r="H121" s="85" t="s">
        <v>206</v>
      </c>
      <c r="I121" s="81"/>
    </row>
    <row r="122" spans="1:9" x14ac:dyDescent="0.35">
      <c r="A122" s="79">
        <v>121</v>
      </c>
      <c r="B122" s="79" t="str">
        <f t="shared" si="1"/>
        <v>121T</v>
      </c>
      <c r="C122" s="86">
        <v>4</v>
      </c>
      <c r="D122" s="90" t="s">
        <v>746</v>
      </c>
      <c r="E122" s="90" t="s">
        <v>443</v>
      </c>
      <c r="F122" s="84" t="s">
        <v>0</v>
      </c>
      <c r="G122" s="86" t="s">
        <v>10</v>
      </c>
      <c r="H122" s="85" t="s">
        <v>198</v>
      </c>
      <c r="I122" s="81"/>
    </row>
    <row r="123" spans="1:9" x14ac:dyDescent="0.35">
      <c r="A123" s="79">
        <v>122</v>
      </c>
      <c r="B123" s="79" t="str">
        <f t="shared" si="1"/>
        <v>122T</v>
      </c>
      <c r="C123" s="86">
        <v>4</v>
      </c>
      <c r="D123" s="90" t="s">
        <v>746</v>
      </c>
      <c r="E123" s="90" t="s">
        <v>444</v>
      </c>
      <c r="F123" s="84" t="s">
        <v>0</v>
      </c>
      <c r="G123" s="86" t="s">
        <v>10</v>
      </c>
      <c r="H123" s="85" t="s">
        <v>199</v>
      </c>
      <c r="I123" s="81"/>
    </row>
    <row r="124" spans="1:9" x14ac:dyDescent="0.35">
      <c r="A124" s="79">
        <v>123</v>
      </c>
      <c r="B124" s="79" t="str">
        <f t="shared" si="1"/>
        <v>123T</v>
      </c>
      <c r="C124" s="86">
        <v>5</v>
      </c>
      <c r="D124" s="90" t="s">
        <v>746</v>
      </c>
      <c r="E124" s="90" t="s">
        <v>462</v>
      </c>
      <c r="F124" s="84" t="s">
        <v>0</v>
      </c>
      <c r="G124" s="49" t="s">
        <v>25</v>
      </c>
      <c r="H124" s="90" t="s">
        <v>207</v>
      </c>
    </row>
    <row r="125" spans="1:9" x14ac:dyDescent="0.35">
      <c r="A125" s="79">
        <v>124</v>
      </c>
      <c r="B125" s="79" t="str">
        <f t="shared" si="1"/>
        <v>124T</v>
      </c>
      <c r="C125" s="86">
        <v>5</v>
      </c>
      <c r="D125" s="90" t="s">
        <v>746</v>
      </c>
      <c r="E125" s="90" t="s">
        <v>463</v>
      </c>
      <c r="F125" s="84" t="s">
        <v>0</v>
      </c>
      <c r="G125" s="49" t="s">
        <v>25</v>
      </c>
      <c r="H125" s="90" t="s">
        <v>296</v>
      </c>
    </row>
    <row r="126" spans="1:9" x14ac:dyDescent="0.35">
      <c r="A126" s="79">
        <v>125</v>
      </c>
      <c r="B126" s="79" t="str">
        <f t="shared" si="1"/>
        <v>125T</v>
      </c>
      <c r="C126" s="86">
        <v>5</v>
      </c>
      <c r="D126" s="90" t="s">
        <v>746</v>
      </c>
      <c r="E126" s="90" t="s">
        <v>464</v>
      </c>
      <c r="F126" s="84" t="s">
        <v>0</v>
      </c>
      <c r="G126" s="49" t="s">
        <v>25</v>
      </c>
      <c r="H126" s="90" t="s">
        <v>200</v>
      </c>
    </row>
    <row r="127" spans="1:9" x14ac:dyDescent="0.35">
      <c r="A127" s="79">
        <v>126</v>
      </c>
      <c r="B127" s="79" t="str">
        <f t="shared" si="1"/>
        <v>126T</v>
      </c>
      <c r="C127" s="86">
        <v>5</v>
      </c>
      <c r="D127" s="90" t="s">
        <v>746</v>
      </c>
      <c r="E127" s="90" t="s">
        <v>465</v>
      </c>
      <c r="F127" s="84" t="s">
        <v>0</v>
      </c>
      <c r="G127" s="49" t="s">
        <v>25</v>
      </c>
      <c r="H127" s="90" t="s">
        <v>201</v>
      </c>
    </row>
    <row r="128" spans="1:9" x14ac:dyDescent="0.35">
      <c r="A128" s="79">
        <v>127</v>
      </c>
      <c r="B128" s="79" t="str">
        <f t="shared" si="1"/>
        <v>127T</v>
      </c>
      <c r="C128" s="86">
        <v>6</v>
      </c>
      <c r="D128" s="90" t="s">
        <v>746</v>
      </c>
      <c r="E128" s="90" t="s">
        <v>471</v>
      </c>
      <c r="F128" s="84" t="s">
        <v>0</v>
      </c>
      <c r="G128" s="49" t="s">
        <v>25</v>
      </c>
      <c r="H128" s="90" t="s">
        <v>202</v>
      </c>
      <c r="I128" s="96"/>
    </row>
    <row r="129" spans="1:9" x14ac:dyDescent="0.35">
      <c r="A129" s="79">
        <v>128</v>
      </c>
      <c r="B129" s="79" t="str">
        <f t="shared" si="1"/>
        <v>128T</v>
      </c>
      <c r="C129" s="86">
        <v>6</v>
      </c>
      <c r="D129" s="90" t="s">
        <v>746</v>
      </c>
      <c r="E129" s="90" t="s">
        <v>472</v>
      </c>
      <c r="F129" s="84" t="s">
        <v>0</v>
      </c>
      <c r="G129" s="49" t="s">
        <v>25</v>
      </c>
      <c r="H129" s="90" t="s">
        <v>203</v>
      </c>
      <c r="I129" s="96"/>
    </row>
    <row r="130" spans="1:9" x14ac:dyDescent="0.35">
      <c r="A130" s="79">
        <v>129</v>
      </c>
      <c r="B130" s="79" t="str">
        <f t="shared" si="1"/>
        <v>129T</v>
      </c>
      <c r="C130" s="86">
        <v>6</v>
      </c>
      <c r="D130" s="90" t="s">
        <v>746</v>
      </c>
      <c r="E130" s="90" t="s">
        <v>473</v>
      </c>
      <c r="F130" s="84" t="s">
        <v>0</v>
      </c>
      <c r="G130" s="49" t="s">
        <v>25</v>
      </c>
      <c r="H130" s="90" t="s">
        <v>204</v>
      </c>
      <c r="I130" s="96"/>
    </row>
    <row r="131" spans="1:9" x14ac:dyDescent="0.35">
      <c r="A131" s="79">
        <v>130</v>
      </c>
      <c r="B131" s="79" t="str">
        <f t="shared" ref="B131:B194" si="2">CONCATENATE(A131,LEFT(F131,1))</f>
        <v>130T</v>
      </c>
      <c r="C131" s="86">
        <v>6</v>
      </c>
      <c r="D131" s="90" t="s">
        <v>746</v>
      </c>
      <c r="E131" s="90" t="s">
        <v>474</v>
      </c>
      <c r="F131" s="84" t="s">
        <v>0</v>
      </c>
      <c r="G131" s="49" t="s">
        <v>25</v>
      </c>
      <c r="H131" s="90" t="s">
        <v>205</v>
      </c>
      <c r="I131" s="96"/>
    </row>
    <row r="132" spans="1:9" x14ac:dyDescent="0.35">
      <c r="A132" s="79">
        <v>131</v>
      </c>
      <c r="B132" s="79" t="str">
        <f t="shared" si="2"/>
        <v>131T</v>
      </c>
      <c r="C132" s="86">
        <v>8</v>
      </c>
      <c r="D132" s="90" t="s">
        <v>746</v>
      </c>
      <c r="E132" s="90" t="s">
        <v>508</v>
      </c>
      <c r="F132" s="84" t="s">
        <v>0</v>
      </c>
      <c r="G132" s="49" t="s">
        <v>25</v>
      </c>
      <c r="H132" s="90" t="s">
        <v>197</v>
      </c>
      <c r="I132" s="85"/>
    </row>
    <row r="133" spans="1:9" s="115" customFormat="1" ht="18" x14ac:dyDescent="0.4">
      <c r="A133" s="79">
        <v>132</v>
      </c>
      <c r="B133" s="79" t="str">
        <f t="shared" si="2"/>
        <v>132T</v>
      </c>
      <c r="C133" s="92">
        <v>1</v>
      </c>
      <c r="D133" s="90" t="s">
        <v>747</v>
      </c>
      <c r="E133" s="94" t="s">
        <v>400</v>
      </c>
      <c r="F133" s="95" t="s">
        <v>0</v>
      </c>
      <c r="G133" s="103" t="s">
        <v>10</v>
      </c>
      <c r="H133" s="94" t="s">
        <v>210</v>
      </c>
      <c r="I133" s="100"/>
    </row>
    <row r="134" spans="1:9" s="113" customFormat="1" x14ac:dyDescent="0.35">
      <c r="A134" s="79">
        <v>133</v>
      </c>
      <c r="B134" s="79" t="str">
        <f t="shared" si="2"/>
        <v>133T</v>
      </c>
      <c r="C134" s="86">
        <v>1</v>
      </c>
      <c r="D134" s="90" t="s">
        <v>747</v>
      </c>
      <c r="E134" s="90" t="s">
        <v>401</v>
      </c>
      <c r="F134" s="84" t="s">
        <v>0</v>
      </c>
      <c r="G134" s="49" t="s">
        <v>10</v>
      </c>
      <c r="H134" s="90" t="s">
        <v>211</v>
      </c>
      <c r="I134" s="97"/>
    </row>
    <row r="135" spans="1:9" s="113" customFormat="1" x14ac:dyDescent="0.35">
      <c r="A135" s="79">
        <v>134</v>
      </c>
      <c r="B135" s="79" t="str">
        <f t="shared" si="2"/>
        <v>134T</v>
      </c>
      <c r="C135" s="86">
        <v>1</v>
      </c>
      <c r="D135" s="90" t="s">
        <v>747</v>
      </c>
      <c r="E135" s="90" t="s">
        <v>402</v>
      </c>
      <c r="F135" s="84" t="s">
        <v>0</v>
      </c>
      <c r="G135" s="49" t="s">
        <v>10</v>
      </c>
      <c r="H135" s="90" t="s">
        <v>213</v>
      </c>
      <c r="I135" s="97"/>
    </row>
    <row r="136" spans="1:9" s="113" customFormat="1" x14ac:dyDescent="0.35">
      <c r="A136" s="79">
        <v>135</v>
      </c>
      <c r="B136" s="79" t="str">
        <f t="shared" si="2"/>
        <v>135T</v>
      </c>
      <c r="C136" s="86">
        <v>1</v>
      </c>
      <c r="D136" s="90" t="s">
        <v>747</v>
      </c>
      <c r="E136" s="84" t="s">
        <v>403</v>
      </c>
      <c r="F136" s="84" t="s">
        <v>0</v>
      </c>
      <c r="G136" s="49" t="s">
        <v>10</v>
      </c>
      <c r="H136" s="90" t="s">
        <v>216</v>
      </c>
      <c r="I136" s="97"/>
    </row>
    <row r="137" spans="1:9" s="113" customFormat="1" x14ac:dyDescent="0.35">
      <c r="A137" s="79">
        <v>136</v>
      </c>
      <c r="B137" s="79" t="str">
        <f t="shared" si="2"/>
        <v>136T</v>
      </c>
      <c r="C137" s="86">
        <v>2</v>
      </c>
      <c r="D137" s="90" t="s">
        <v>747</v>
      </c>
      <c r="E137" s="90" t="s">
        <v>404</v>
      </c>
      <c r="F137" s="84" t="s">
        <v>0</v>
      </c>
      <c r="G137" s="49" t="s">
        <v>10</v>
      </c>
      <c r="H137" s="90" t="s">
        <v>216</v>
      </c>
      <c r="I137" s="111"/>
    </row>
    <row r="138" spans="1:9" s="113" customFormat="1" x14ac:dyDescent="0.35">
      <c r="A138" s="79">
        <v>137</v>
      </c>
      <c r="B138" s="79" t="str">
        <f t="shared" si="2"/>
        <v>137T</v>
      </c>
      <c r="C138" s="86">
        <v>2</v>
      </c>
      <c r="D138" s="90" t="s">
        <v>747</v>
      </c>
      <c r="E138" s="90" t="s">
        <v>405</v>
      </c>
      <c r="F138" s="84" t="s">
        <v>0</v>
      </c>
      <c r="G138" s="49" t="s">
        <v>10</v>
      </c>
      <c r="H138" s="90" t="s">
        <v>212</v>
      </c>
      <c r="I138" s="111"/>
    </row>
    <row r="139" spans="1:9" s="113" customFormat="1" x14ac:dyDescent="0.35">
      <c r="A139" s="79">
        <v>138</v>
      </c>
      <c r="B139" s="79" t="str">
        <f t="shared" si="2"/>
        <v>138T</v>
      </c>
      <c r="C139" s="86">
        <v>2</v>
      </c>
      <c r="D139" s="90" t="s">
        <v>747</v>
      </c>
      <c r="E139" s="90" t="s">
        <v>406</v>
      </c>
      <c r="F139" s="84" t="s">
        <v>0</v>
      </c>
      <c r="G139" s="49" t="s">
        <v>10</v>
      </c>
      <c r="H139" s="90" t="s">
        <v>215</v>
      </c>
      <c r="I139" s="111"/>
    </row>
    <row r="140" spans="1:9" s="113" customFormat="1" x14ac:dyDescent="0.35">
      <c r="A140" s="79">
        <v>139</v>
      </c>
      <c r="B140" s="79" t="str">
        <f t="shared" si="2"/>
        <v>139T</v>
      </c>
      <c r="C140" s="86">
        <v>2</v>
      </c>
      <c r="D140" s="90" t="s">
        <v>747</v>
      </c>
      <c r="E140" s="90" t="s">
        <v>407</v>
      </c>
      <c r="F140" s="84" t="s">
        <v>0</v>
      </c>
      <c r="G140" s="49" t="s">
        <v>10</v>
      </c>
      <c r="H140" s="90" t="s">
        <v>214</v>
      </c>
      <c r="I140" s="111"/>
    </row>
    <row r="141" spans="1:9" x14ac:dyDescent="0.35">
      <c r="A141" s="79">
        <v>140</v>
      </c>
      <c r="B141" s="79" t="str">
        <f t="shared" si="2"/>
        <v>140T</v>
      </c>
      <c r="C141" s="86">
        <v>4</v>
      </c>
      <c r="D141" s="90" t="s">
        <v>747</v>
      </c>
      <c r="E141" s="90" t="s">
        <v>445</v>
      </c>
      <c r="F141" s="84" t="s">
        <v>0</v>
      </c>
      <c r="G141" s="49" t="s">
        <v>10</v>
      </c>
      <c r="H141" s="85" t="s">
        <v>219</v>
      </c>
      <c r="I141" s="81"/>
    </row>
    <row r="142" spans="1:9" x14ac:dyDescent="0.35">
      <c r="A142" s="79">
        <v>141</v>
      </c>
      <c r="B142" s="79" t="str">
        <f t="shared" si="2"/>
        <v>141T</v>
      </c>
      <c r="C142" s="86">
        <v>5</v>
      </c>
      <c r="D142" s="90" t="s">
        <v>747</v>
      </c>
      <c r="E142" s="90" t="s">
        <v>466</v>
      </c>
      <c r="F142" s="84" t="s">
        <v>0</v>
      </c>
      <c r="G142" s="49" t="s">
        <v>10</v>
      </c>
      <c r="H142" s="90" t="s">
        <v>220</v>
      </c>
    </row>
    <row r="143" spans="1:9" x14ac:dyDescent="0.35">
      <c r="A143" s="79">
        <v>142</v>
      </c>
      <c r="B143" s="79" t="str">
        <f t="shared" si="2"/>
        <v>142T</v>
      </c>
      <c r="C143" s="86">
        <v>5</v>
      </c>
      <c r="D143" s="90" t="s">
        <v>747</v>
      </c>
      <c r="E143" s="90" t="s">
        <v>467</v>
      </c>
      <c r="F143" s="84" t="s">
        <v>0</v>
      </c>
      <c r="G143" s="49" t="s">
        <v>10</v>
      </c>
      <c r="H143" s="90" t="s">
        <v>281</v>
      </c>
    </row>
    <row r="144" spans="1:9" x14ac:dyDescent="0.35">
      <c r="A144" s="79">
        <v>143</v>
      </c>
      <c r="B144" s="79" t="str">
        <f t="shared" si="2"/>
        <v>143T</v>
      </c>
      <c r="C144" s="86">
        <v>6</v>
      </c>
      <c r="D144" s="90" t="s">
        <v>747</v>
      </c>
      <c r="E144" s="90" t="s">
        <v>475</v>
      </c>
      <c r="F144" s="84" t="s">
        <v>0</v>
      </c>
      <c r="G144" s="49" t="s">
        <v>10</v>
      </c>
      <c r="H144" s="90" t="s">
        <v>280</v>
      </c>
      <c r="I144" s="96"/>
    </row>
    <row r="145" spans="1:9" x14ac:dyDescent="0.35">
      <c r="A145" s="79">
        <v>144</v>
      </c>
      <c r="B145" s="79" t="str">
        <f t="shared" si="2"/>
        <v>144T</v>
      </c>
      <c r="C145" s="86">
        <v>6</v>
      </c>
      <c r="D145" s="90" t="s">
        <v>747</v>
      </c>
      <c r="E145" s="90" t="s">
        <v>476</v>
      </c>
      <c r="F145" s="84" t="s">
        <v>0</v>
      </c>
      <c r="G145" s="49" t="s">
        <v>10</v>
      </c>
      <c r="H145" s="90" t="s">
        <v>284</v>
      </c>
      <c r="I145" s="86"/>
    </row>
    <row r="146" spans="1:9" x14ac:dyDescent="0.35">
      <c r="A146" s="79">
        <v>145</v>
      </c>
      <c r="B146" s="79" t="str">
        <f t="shared" si="2"/>
        <v>145T</v>
      </c>
      <c r="C146" s="86">
        <v>7</v>
      </c>
      <c r="D146" s="90" t="s">
        <v>747</v>
      </c>
      <c r="E146" s="90" t="s">
        <v>492</v>
      </c>
      <c r="F146" s="84" t="s">
        <v>0</v>
      </c>
      <c r="G146" s="49" t="s">
        <v>10</v>
      </c>
      <c r="H146" s="90" t="s">
        <v>217</v>
      </c>
      <c r="I146" s="96"/>
    </row>
    <row r="147" spans="1:9" x14ac:dyDescent="0.35">
      <c r="A147" s="79">
        <v>146</v>
      </c>
      <c r="B147" s="79" t="str">
        <f t="shared" si="2"/>
        <v>146T</v>
      </c>
      <c r="C147" s="86">
        <v>7</v>
      </c>
      <c r="D147" s="90" t="s">
        <v>747</v>
      </c>
      <c r="E147" s="90" t="s">
        <v>493</v>
      </c>
      <c r="F147" s="84" t="s">
        <v>0</v>
      </c>
      <c r="G147" s="49" t="s">
        <v>10</v>
      </c>
      <c r="H147" s="90" t="s">
        <v>218</v>
      </c>
      <c r="I147" s="96"/>
    </row>
    <row r="148" spans="1:9" x14ac:dyDescent="0.35">
      <c r="A148" s="79">
        <v>147</v>
      </c>
      <c r="B148" s="79" t="str">
        <f t="shared" si="2"/>
        <v>147T</v>
      </c>
      <c r="C148" s="86">
        <v>8</v>
      </c>
      <c r="D148" s="90" t="s">
        <v>747</v>
      </c>
      <c r="E148" s="90" t="s">
        <v>509</v>
      </c>
      <c r="F148" s="84" t="s">
        <v>0</v>
      </c>
      <c r="G148" s="49" t="s">
        <v>10</v>
      </c>
      <c r="H148" s="90" t="s">
        <v>279</v>
      </c>
      <c r="I148" s="85"/>
    </row>
    <row r="149" spans="1:9" x14ac:dyDescent="0.35">
      <c r="A149" s="79">
        <v>148</v>
      </c>
      <c r="B149" s="79" t="str">
        <f t="shared" si="2"/>
        <v>148T</v>
      </c>
      <c r="C149" s="86">
        <v>8</v>
      </c>
      <c r="D149" s="90" t="s">
        <v>747</v>
      </c>
      <c r="E149" s="90" t="s">
        <v>510</v>
      </c>
      <c r="F149" s="84" t="s">
        <v>0</v>
      </c>
      <c r="G149" s="49" t="s">
        <v>10</v>
      </c>
      <c r="H149" s="90" t="s">
        <v>288</v>
      </c>
      <c r="I149" s="85"/>
    </row>
    <row r="150" spans="1:9" x14ac:dyDescent="0.35">
      <c r="A150" s="79">
        <v>149</v>
      </c>
      <c r="B150" s="79" t="str">
        <f t="shared" si="2"/>
        <v>149T</v>
      </c>
      <c r="C150" s="86">
        <v>8</v>
      </c>
      <c r="D150" s="90" t="s">
        <v>747</v>
      </c>
      <c r="E150" s="90" t="s">
        <v>511</v>
      </c>
      <c r="F150" s="84" t="s">
        <v>0</v>
      </c>
      <c r="G150" s="49" t="s">
        <v>10</v>
      </c>
      <c r="H150" s="90" t="s">
        <v>289</v>
      </c>
      <c r="I150" s="85"/>
    </row>
    <row r="151" spans="1:9" x14ac:dyDescent="0.35">
      <c r="A151" s="79">
        <v>150</v>
      </c>
      <c r="B151" s="79" t="str">
        <f t="shared" si="2"/>
        <v>150T</v>
      </c>
      <c r="C151" s="86">
        <v>9</v>
      </c>
      <c r="D151" s="90" t="s">
        <v>747</v>
      </c>
      <c r="E151" s="90" t="s">
        <v>536</v>
      </c>
      <c r="F151" s="84" t="s">
        <v>0</v>
      </c>
      <c r="G151" s="49" t="s">
        <v>10</v>
      </c>
      <c r="H151" s="16" t="s">
        <v>285</v>
      </c>
    </row>
    <row r="152" spans="1:9" x14ac:dyDescent="0.35">
      <c r="A152" s="79">
        <v>151</v>
      </c>
      <c r="B152" s="79" t="str">
        <f t="shared" si="2"/>
        <v>151T</v>
      </c>
      <c r="C152" s="86">
        <v>9</v>
      </c>
      <c r="D152" s="90" t="s">
        <v>747</v>
      </c>
      <c r="E152" s="90" t="s">
        <v>537</v>
      </c>
      <c r="F152" s="84" t="s">
        <v>0</v>
      </c>
      <c r="G152" s="49" t="s">
        <v>10</v>
      </c>
      <c r="H152" s="16" t="s">
        <v>286</v>
      </c>
    </row>
    <row r="153" spans="1:9" x14ac:dyDescent="0.35">
      <c r="A153" s="79">
        <v>152</v>
      </c>
      <c r="B153" s="79" t="str">
        <f t="shared" si="2"/>
        <v>152T</v>
      </c>
      <c r="C153" s="86">
        <v>9</v>
      </c>
      <c r="D153" s="90" t="s">
        <v>747</v>
      </c>
      <c r="E153" s="90" t="s">
        <v>538</v>
      </c>
      <c r="F153" s="84" t="s">
        <v>0</v>
      </c>
      <c r="G153" s="49" t="s">
        <v>10</v>
      </c>
      <c r="H153" s="16" t="s">
        <v>287</v>
      </c>
    </row>
    <row r="154" spans="1:9" x14ac:dyDescent="0.35">
      <c r="A154" s="79">
        <v>153</v>
      </c>
      <c r="B154" s="79" t="str">
        <f t="shared" si="2"/>
        <v>153T</v>
      </c>
      <c r="C154" s="86">
        <v>9</v>
      </c>
      <c r="D154" s="90" t="s">
        <v>747</v>
      </c>
      <c r="E154" s="90" t="s">
        <v>539</v>
      </c>
      <c r="F154" s="84" t="s">
        <v>0</v>
      </c>
      <c r="G154" s="49" t="s">
        <v>10</v>
      </c>
      <c r="H154" s="16" t="s">
        <v>221</v>
      </c>
    </row>
    <row r="155" spans="1:9" s="115" customFormat="1" ht="18" x14ac:dyDescent="0.4">
      <c r="A155" s="79">
        <v>154</v>
      </c>
      <c r="B155" s="79" t="str">
        <f t="shared" si="2"/>
        <v>154E</v>
      </c>
      <c r="C155" s="92">
        <v>1</v>
      </c>
      <c r="D155" s="94" t="s">
        <v>409</v>
      </c>
      <c r="E155" s="94" t="s">
        <v>223</v>
      </c>
      <c r="F155" s="95" t="s">
        <v>409</v>
      </c>
      <c r="G155" s="103" t="s">
        <v>10</v>
      </c>
      <c r="H155" s="94" t="s">
        <v>242</v>
      </c>
      <c r="I155" s="100"/>
    </row>
    <row r="156" spans="1:9" s="113" customFormat="1" x14ac:dyDescent="0.35">
      <c r="A156" s="79">
        <v>155</v>
      </c>
      <c r="B156" s="79" t="str">
        <f t="shared" si="2"/>
        <v>155E</v>
      </c>
      <c r="C156" s="86">
        <v>1</v>
      </c>
      <c r="D156" s="90" t="s">
        <v>409</v>
      </c>
      <c r="E156" s="90" t="s">
        <v>224</v>
      </c>
      <c r="F156" s="84" t="s">
        <v>409</v>
      </c>
      <c r="G156" s="49" t="s">
        <v>10</v>
      </c>
      <c r="H156" s="90" t="s">
        <v>243</v>
      </c>
      <c r="I156" s="97"/>
    </row>
    <row r="157" spans="1:9" s="113" customFormat="1" x14ac:dyDescent="0.35">
      <c r="A157" s="79">
        <v>156</v>
      </c>
      <c r="B157" s="79" t="str">
        <f t="shared" si="2"/>
        <v>156E</v>
      </c>
      <c r="C157" s="86">
        <v>1</v>
      </c>
      <c r="D157" s="90" t="s">
        <v>409</v>
      </c>
      <c r="E157" s="90" t="s">
        <v>234</v>
      </c>
      <c r="F157" s="84" t="s">
        <v>409</v>
      </c>
      <c r="G157" s="49" t="s">
        <v>10</v>
      </c>
      <c r="H157" s="90" t="s">
        <v>244</v>
      </c>
      <c r="I157" s="97"/>
    </row>
    <row r="158" spans="1:9" s="113" customFormat="1" x14ac:dyDescent="0.35">
      <c r="A158" s="79">
        <v>157</v>
      </c>
      <c r="B158" s="79" t="str">
        <f t="shared" si="2"/>
        <v>157E</v>
      </c>
      <c r="C158" s="86">
        <v>1</v>
      </c>
      <c r="D158" s="90" t="s">
        <v>409</v>
      </c>
      <c r="E158" s="90" t="s">
        <v>225</v>
      </c>
      <c r="F158" s="84" t="s">
        <v>409</v>
      </c>
      <c r="G158" s="49" t="s">
        <v>10</v>
      </c>
      <c r="H158" s="90" t="s">
        <v>245</v>
      </c>
      <c r="I158" s="97"/>
    </row>
    <row r="159" spans="1:9" s="113" customFormat="1" x14ac:dyDescent="0.35">
      <c r="A159" s="79">
        <v>158</v>
      </c>
      <c r="B159" s="79" t="str">
        <f t="shared" si="2"/>
        <v>158E</v>
      </c>
      <c r="C159" s="86">
        <v>1</v>
      </c>
      <c r="D159" s="90" t="s">
        <v>409</v>
      </c>
      <c r="E159" s="90" t="s">
        <v>226</v>
      </c>
      <c r="F159" s="84" t="s">
        <v>409</v>
      </c>
      <c r="G159" s="49" t="s">
        <v>10</v>
      </c>
      <c r="H159" s="90" t="s">
        <v>246</v>
      </c>
      <c r="I159" s="97"/>
    </row>
    <row r="160" spans="1:9" s="113" customFormat="1" ht="18" x14ac:dyDescent="0.4">
      <c r="A160" s="79">
        <v>159</v>
      </c>
      <c r="B160" s="79" t="str">
        <f t="shared" si="2"/>
        <v>159E</v>
      </c>
      <c r="C160" s="86">
        <v>2</v>
      </c>
      <c r="D160" s="87" t="s">
        <v>409</v>
      </c>
      <c r="E160" s="87" t="s">
        <v>230</v>
      </c>
      <c r="F160" s="84" t="s">
        <v>409</v>
      </c>
      <c r="G160" s="49" t="s">
        <v>10</v>
      </c>
      <c r="H160" s="90" t="s">
        <v>231</v>
      </c>
      <c r="I160" s="89"/>
    </row>
    <row r="161" spans="1:9" s="113" customFormat="1" x14ac:dyDescent="0.35">
      <c r="A161" s="79">
        <v>160</v>
      </c>
      <c r="B161" s="79" t="str">
        <f t="shared" si="2"/>
        <v>160E</v>
      </c>
      <c r="C161" s="86">
        <v>2</v>
      </c>
      <c r="D161" s="87" t="s">
        <v>409</v>
      </c>
      <c r="E161" s="87" t="s">
        <v>227</v>
      </c>
      <c r="F161" s="84" t="s">
        <v>409</v>
      </c>
      <c r="G161" s="49" t="s">
        <v>10</v>
      </c>
      <c r="H161" s="90" t="s">
        <v>232</v>
      </c>
      <c r="I161" s="111"/>
    </row>
    <row r="162" spans="1:9" x14ac:dyDescent="0.35">
      <c r="A162" s="79">
        <v>161</v>
      </c>
      <c r="B162" s="79" t="str">
        <f t="shared" si="2"/>
        <v>161E</v>
      </c>
      <c r="C162" s="86">
        <v>3</v>
      </c>
      <c r="D162" s="90" t="s">
        <v>409</v>
      </c>
      <c r="E162" s="90" t="s">
        <v>228</v>
      </c>
      <c r="F162" s="84" t="s">
        <v>409</v>
      </c>
      <c r="G162" s="49" t="s">
        <v>10</v>
      </c>
      <c r="H162" s="90" t="s">
        <v>247</v>
      </c>
    </row>
    <row r="163" spans="1:9" x14ac:dyDescent="0.35">
      <c r="A163" s="79">
        <v>162</v>
      </c>
      <c r="B163" s="79" t="str">
        <f t="shared" si="2"/>
        <v>162E</v>
      </c>
      <c r="C163" s="86">
        <v>4</v>
      </c>
      <c r="D163" s="16" t="s">
        <v>409</v>
      </c>
      <c r="E163" s="16" t="s">
        <v>240</v>
      </c>
      <c r="F163" s="84" t="s">
        <v>409</v>
      </c>
      <c r="G163" s="49" t="s">
        <v>10</v>
      </c>
      <c r="H163" s="85" t="s">
        <v>241</v>
      </c>
      <c r="I163" s="81"/>
    </row>
    <row r="164" spans="1:9" x14ac:dyDescent="0.35">
      <c r="A164" s="79">
        <v>163</v>
      </c>
      <c r="B164" s="79" t="str">
        <f t="shared" si="2"/>
        <v>163E</v>
      </c>
      <c r="C164" s="86">
        <v>5</v>
      </c>
      <c r="D164" s="90" t="s">
        <v>409</v>
      </c>
      <c r="E164" s="90" t="s">
        <v>251</v>
      </c>
      <c r="F164" s="84" t="s">
        <v>409</v>
      </c>
      <c r="G164" s="49" t="s">
        <v>10</v>
      </c>
      <c r="H164" s="90" t="s">
        <v>250</v>
      </c>
    </row>
    <row r="165" spans="1:9" x14ac:dyDescent="0.35">
      <c r="A165" s="79">
        <v>164</v>
      </c>
      <c r="B165" s="79" t="str">
        <f t="shared" si="2"/>
        <v>164E</v>
      </c>
      <c r="C165" s="86">
        <v>5</v>
      </c>
      <c r="D165" s="90" t="s">
        <v>409</v>
      </c>
      <c r="E165" s="90" t="s">
        <v>229</v>
      </c>
      <c r="F165" s="84" t="s">
        <v>409</v>
      </c>
      <c r="G165" s="49" t="s">
        <v>10</v>
      </c>
      <c r="H165" s="90" t="s">
        <v>235</v>
      </c>
    </row>
    <row r="166" spans="1:9" x14ac:dyDescent="0.35">
      <c r="A166" s="79">
        <v>165</v>
      </c>
      <c r="B166" s="79" t="str">
        <f t="shared" si="2"/>
        <v>165E</v>
      </c>
      <c r="C166" s="86">
        <v>6</v>
      </c>
      <c r="D166" s="90" t="s">
        <v>409</v>
      </c>
      <c r="E166" s="90" t="s">
        <v>248</v>
      </c>
      <c r="F166" s="84" t="s">
        <v>409</v>
      </c>
      <c r="G166" s="49" t="s">
        <v>10</v>
      </c>
      <c r="H166" s="90" t="s">
        <v>249</v>
      </c>
    </row>
    <row r="167" spans="1:9" x14ac:dyDescent="0.35">
      <c r="A167" s="79">
        <v>166</v>
      </c>
      <c r="B167" s="79" t="str">
        <f t="shared" si="2"/>
        <v>166E</v>
      </c>
      <c r="C167" s="86">
        <v>6</v>
      </c>
      <c r="D167" s="90" t="s">
        <v>409</v>
      </c>
      <c r="E167" s="90" t="s">
        <v>236</v>
      </c>
      <c r="F167" s="84" t="s">
        <v>409</v>
      </c>
      <c r="G167" s="49" t="s">
        <v>10</v>
      </c>
      <c r="H167" s="90" t="s">
        <v>237</v>
      </c>
    </row>
    <row r="168" spans="1:9" x14ac:dyDescent="0.35">
      <c r="A168" s="79">
        <v>167</v>
      </c>
      <c r="B168" s="79" t="str">
        <f t="shared" si="2"/>
        <v>167E</v>
      </c>
      <c r="C168" s="86">
        <v>7</v>
      </c>
      <c r="D168" s="90" t="s">
        <v>409</v>
      </c>
      <c r="E168" s="90" t="s">
        <v>240</v>
      </c>
      <c r="F168" s="84" t="s">
        <v>409</v>
      </c>
      <c r="G168" s="49" t="s">
        <v>10</v>
      </c>
      <c r="H168" s="90" t="s">
        <v>241</v>
      </c>
      <c r="I168" s="85"/>
    </row>
    <row r="169" spans="1:9" x14ac:dyDescent="0.35">
      <c r="A169" s="79">
        <v>168</v>
      </c>
      <c r="B169" s="79" t="str">
        <f t="shared" si="2"/>
        <v>168E</v>
      </c>
      <c r="C169" s="86">
        <v>8</v>
      </c>
      <c r="D169" s="90" t="s">
        <v>409</v>
      </c>
      <c r="E169" s="90" t="s">
        <v>238</v>
      </c>
      <c r="F169" s="84" t="s">
        <v>409</v>
      </c>
      <c r="G169" s="49" t="s">
        <v>10</v>
      </c>
      <c r="H169" s="90" t="s">
        <v>239</v>
      </c>
      <c r="I169" s="85"/>
    </row>
    <row r="170" spans="1:9" x14ac:dyDescent="0.35">
      <c r="A170" s="79">
        <v>169</v>
      </c>
      <c r="B170" s="79" t="str">
        <f t="shared" si="2"/>
        <v>169E</v>
      </c>
      <c r="C170" s="86">
        <v>10</v>
      </c>
      <c r="D170" s="16" t="s">
        <v>409</v>
      </c>
      <c r="E170" s="16" t="s">
        <v>252</v>
      </c>
      <c r="F170" s="84" t="s">
        <v>409</v>
      </c>
      <c r="G170" s="49" t="s">
        <v>10</v>
      </c>
      <c r="H170" s="85" t="s">
        <v>253</v>
      </c>
      <c r="I170" s="85"/>
    </row>
    <row r="171" spans="1:9" s="115" customFormat="1" ht="18" x14ac:dyDescent="0.4">
      <c r="A171" s="79">
        <v>170</v>
      </c>
      <c r="B171" s="79" t="str">
        <f t="shared" si="2"/>
        <v>170T</v>
      </c>
      <c r="C171" s="92">
        <v>1</v>
      </c>
      <c r="D171" s="88" t="s">
        <v>748</v>
      </c>
      <c r="E171" s="94" t="s">
        <v>322</v>
      </c>
      <c r="F171" s="95" t="s">
        <v>0</v>
      </c>
      <c r="G171" s="103" t="s">
        <v>10</v>
      </c>
      <c r="H171" s="104" t="s">
        <v>27</v>
      </c>
      <c r="I171" s="89"/>
    </row>
    <row r="172" spans="1:9" s="113" customFormat="1" x14ac:dyDescent="0.35">
      <c r="A172" s="79">
        <v>171</v>
      </c>
      <c r="B172" s="79" t="str">
        <f t="shared" si="2"/>
        <v>171T</v>
      </c>
      <c r="C172" s="86">
        <v>1</v>
      </c>
      <c r="D172" s="85" t="s">
        <v>748</v>
      </c>
      <c r="E172" s="90" t="s">
        <v>323</v>
      </c>
      <c r="F172" s="84" t="s">
        <v>0</v>
      </c>
      <c r="G172" s="49" t="s">
        <v>10</v>
      </c>
      <c r="H172" s="96" t="s">
        <v>28</v>
      </c>
      <c r="I172" s="81"/>
    </row>
    <row r="173" spans="1:9" s="113" customFormat="1" x14ac:dyDescent="0.35">
      <c r="A173" s="79">
        <v>172</v>
      </c>
      <c r="B173" s="79" t="str">
        <f t="shared" si="2"/>
        <v>172T</v>
      </c>
      <c r="C173" s="86">
        <v>1</v>
      </c>
      <c r="D173" s="85" t="s">
        <v>748</v>
      </c>
      <c r="E173" s="90" t="s">
        <v>324</v>
      </c>
      <c r="F173" s="84" t="s">
        <v>0</v>
      </c>
      <c r="G173" s="49" t="s">
        <v>10</v>
      </c>
      <c r="H173" s="96" t="s">
        <v>29</v>
      </c>
      <c r="I173" s="81"/>
    </row>
    <row r="174" spans="1:9" s="113" customFormat="1" x14ac:dyDescent="0.35">
      <c r="A174" s="79">
        <v>173</v>
      </c>
      <c r="B174" s="79" t="str">
        <f t="shared" si="2"/>
        <v>173T</v>
      </c>
      <c r="C174" s="86">
        <v>1</v>
      </c>
      <c r="D174" s="85" t="s">
        <v>748</v>
      </c>
      <c r="E174" s="90" t="s">
        <v>325</v>
      </c>
      <c r="F174" s="84" t="s">
        <v>0</v>
      </c>
      <c r="G174" s="49" t="s">
        <v>10</v>
      </c>
      <c r="H174" s="96" t="s">
        <v>30</v>
      </c>
      <c r="I174" s="81"/>
    </row>
    <row r="175" spans="1:9" s="113" customFormat="1" x14ac:dyDescent="0.35">
      <c r="A175" s="79">
        <v>174</v>
      </c>
      <c r="B175" s="79" t="str">
        <f t="shared" si="2"/>
        <v>174T</v>
      </c>
      <c r="C175" s="86">
        <v>1</v>
      </c>
      <c r="D175" s="85" t="s">
        <v>748</v>
      </c>
      <c r="E175" s="90" t="s">
        <v>326</v>
      </c>
      <c r="F175" s="90" t="s">
        <v>0</v>
      </c>
      <c r="G175" s="49" t="s">
        <v>10</v>
      </c>
      <c r="H175" s="96" t="s">
        <v>129</v>
      </c>
      <c r="I175" s="81"/>
    </row>
    <row r="176" spans="1:9" s="115" customFormat="1" ht="18" x14ac:dyDescent="0.4">
      <c r="A176" s="79">
        <v>175</v>
      </c>
      <c r="B176" s="79" t="str">
        <f t="shared" si="2"/>
        <v>175T</v>
      </c>
      <c r="C176" s="92">
        <v>1</v>
      </c>
      <c r="D176" s="104" t="s">
        <v>342</v>
      </c>
      <c r="E176" s="94" t="s">
        <v>327</v>
      </c>
      <c r="F176" s="94" t="s">
        <v>0</v>
      </c>
      <c r="G176" s="103" t="s">
        <v>10</v>
      </c>
      <c r="H176" s="104" t="s">
        <v>342</v>
      </c>
      <c r="I176" s="89"/>
    </row>
    <row r="177" spans="1:9" s="113" customFormat="1" x14ac:dyDescent="0.35">
      <c r="A177" s="79">
        <v>176</v>
      </c>
      <c r="B177" s="79" t="str">
        <f t="shared" si="2"/>
        <v>176T</v>
      </c>
      <c r="C177" s="86">
        <v>1</v>
      </c>
      <c r="D177" s="85" t="s">
        <v>342</v>
      </c>
      <c r="E177" s="90" t="s">
        <v>328</v>
      </c>
      <c r="F177" s="90" t="s">
        <v>0</v>
      </c>
      <c r="G177" s="49" t="s">
        <v>10</v>
      </c>
      <c r="H177" s="85" t="s">
        <v>342</v>
      </c>
      <c r="I177" s="81"/>
    </row>
    <row r="178" spans="1:9" s="113" customFormat="1" x14ac:dyDescent="0.35">
      <c r="A178" s="79">
        <v>177</v>
      </c>
      <c r="B178" s="79" t="str">
        <f t="shared" si="2"/>
        <v>177T</v>
      </c>
      <c r="C178" s="86">
        <v>1</v>
      </c>
      <c r="D178" s="85" t="s">
        <v>342</v>
      </c>
      <c r="E178" s="90" t="s">
        <v>329</v>
      </c>
      <c r="F178" s="90" t="s">
        <v>0</v>
      </c>
      <c r="G178" s="49" t="s">
        <v>10</v>
      </c>
      <c r="H178" s="85" t="s">
        <v>342</v>
      </c>
      <c r="I178" s="81"/>
    </row>
    <row r="179" spans="1:9" s="113" customFormat="1" x14ac:dyDescent="0.35">
      <c r="A179" s="79">
        <v>178</v>
      </c>
      <c r="B179" s="79" t="str">
        <f t="shared" si="2"/>
        <v>178T</v>
      </c>
      <c r="C179" s="86">
        <v>1</v>
      </c>
      <c r="D179" s="85" t="s">
        <v>342</v>
      </c>
      <c r="E179" s="90" t="s">
        <v>330</v>
      </c>
      <c r="F179" s="90" t="s">
        <v>0</v>
      </c>
      <c r="G179" s="49" t="s">
        <v>10</v>
      </c>
      <c r="H179" s="85" t="s">
        <v>342</v>
      </c>
      <c r="I179" s="81"/>
    </row>
    <row r="180" spans="1:9" s="113" customFormat="1" x14ac:dyDescent="0.35">
      <c r="A180" s="79">
        <v>179</v>
      </c>
      <c r="B180" s="79" t="str">
        <f t="shared" si="2"/>
        <v>179T</v>
      </c>
      <c r="C180" s="86">
        <v>1</v>
      </c>
      <c r="D180" s="85" t="s">
        <v>342</v>
      </c>
      <c r="E180" s="90" t="s">
        <v>331</v>
      </c>
      <c r="F180" s="90" t="s">
        <v>0</v>
      </c>
      <c r="G180" s="49" t="s">
        <v>10</v>
      </c>
      <c r="H180" s="85" t="s">
        <v>342</v>
      </c>
      <c r="I180" s="81"/>
    </row>
    <row r="181" spans="1:9" s="113" customFormat="1" x14ac:dyDescent="0.35">
      <c r="A181" s="79">
        <v>180</v>
      </c>
      <c r="B181" s="79" t="str">
        <f t="shared" si="2"/>
        <v>180T</v>
      </c>
      <c r="C181" s="86">
        <v>2</v>
      </c>
      <c r="D181" s="85" t="s">
        <v>342</v>
      </c>
      <c r="E181" s="90" t="s">
        <v>332</v>
      </c>
      <c r="F181" s="90" t="s">
        <v>0</v>
      </c>
      <c r="G181" s="49" t="s">
        <v>10</v>
      </c>
      <c r="H181" s="85" t="s">
        <v>342</v>
      </c>
      <c r="I181" s="111"/>
    </row>
    <row r="182" spans="1:9" s="113" customFormat="1" x14ac:dyDescent="0.35">
      <c r="A182" s="79">
        <v>181</v>
      </c>
      <c r="B182" s="79" t="str">
        <f t="shared" si="2"/>
        <v>181T</v>
      </c>
      <c r="C182" s="86">
        <v>2</v>
      </c>
      <c r="D182" s="85" t="s">
        <v>342</v>
      </c>
      <c r="E182" s="90" t="s">
        <v>333</v>
      </c>
      <c r="F182" s="90" t="s">
        <v>0</v>
      </c>
      <c r="G182" s="49" t="s">
        <v>10</v>
      </c>
      <c r="H182" s="85" t="s">
        <v>342</v>
      </c>
      <c r="I182" s="111"/>
    </row>
    <row r="183" spans="1:9" s="113" customFormat="1" x14ac:dyDescent="0.35">
      <c r="A183" s="79">
        <v>182</v>
      </c>
      <c r="B183" s="79" t="str">
        <f t="shared" si="2"/>
        <v>182T</v>
      </c>
      <c r="C183" s="86">
        <v>2</v>
      </c>
      <c r="D183" s="85" t="s">
        <v>342</v>
      </c>
      <c r="E183" s="90" t="s">
        <v>334</v>
      </c>
      <c r="F183" s="90" t="s">
        <v>0</v>
      </c>
      <c r="G183" s="49" t="s">
        <v>10</v>
      </c>
      <c r="H183" s="85" t="s">
        <v>342</v>
      </c>
      <c r="I183" s="111"/>
    </row>
    <row r="184" spans="1:9" s="113" customFormat="1" x14ac:dyDescent="0.35">
      <c r="A184" s="79">
        <v>183</v>
      </c>
      <c r="B184" s="79" t="str">
        <f t="shared" si="2"/>
        <v>183T</v>
      </c>
      <c r="C184" s="86">
        <v>2</v>
      </c>
      <c r="D184" s="85" t="s">
        <v>342</v>
      </c>
      <c r="E184" s="90" t="s">
        <v>335</v>
      </c>
      <c r="F184" s="90" t="s">
        <v>0</v>
      </c>
      <c r="G184" s="49" t="s">
        <v>10</v>
      </c>
      <c r="H184" s="85" t="s">
        <v>342</v>
      </c>
      <c r="I184" s="111"/>
    </row>
    <row r="185" spans="1:9" s="113" customFormat="1" x14ac:dyDescent="0.35">
      <c r="A185" s="79">
        <v>184</v>
      </c>
      <c r="B185" s="79" t="str">
        <f t="shared" si="2"/>
        <v>184T</v>
      </c>
      <c r="C185" s="86">
        <v>2</v>
      </c>
      <c r="D185" s="85" t="s">
        <v>342</v>
      </c>
      <c r="E185" s="90" t="s">
        <v>336</v>
      </c>
      <c r="F185" s="90" t="s">
        <v>0</v>
      </c>
      <c r="G185" s="49" t="s">
        <v>10</v>
      </c>
      <c r="H185" s="85" t="s">
        <v>342</v>
      </c>
      <c r="I185" s="111"/>
    </row>
    <row r="186" spans="1:9" s="113" customFormat="1" x14ac:dyDescent="0.35">
      <c r="A186" s="79">
        <v>185</v>
      </c>
      <c r="B186" s="79" t="str">
        <f t="shared" si="2"/>
        <v>185T</v>
      </c>
      <c r="C186" s="86">
        <v>2</v>
      </c>
      <c r="D186" s="85" t="s">
        <v>342</v>
      </c>
      <c r="E186" s="90" t="s">
        <v>337</v>
      </c>
      <c r="F186" s="90" t="s">
        <v>0</v>
      </c>
      <c r="G186" s="49" t="s">
        <v>10</v>
      </c>
      <c r="H186" s="85" t="s">
        <v>342</v>
      </c>
      <c r="I186" s="111"/>
    </row>
    <row r="187" spans="1:9" s="113" customFormat="1" x14ac:dyDescent="0.35">
      <c r="A187" s="79">
        <v>186</v>
      </c>
      <c r="B187" s="79" t="str">
        <f t="shared" si="2"/>
        <v>186T</v>
      </c>
      <c r="C187" s="86">
        <v>2</v>
      </c>
      <c r="D187" s="85" t="s">
        <v>342</v>
      </c>
      <c r="E187" s="90" t="s">
        <v>338</v>
      </c>
      <c r="F187" s="90" t="s">
        <v>0</v>
      </c>
      <c r="G187" s="49" t="s">
        <v>10</v>
      </c>
      <c r="H187" s="85" t="s">
        <v>342</v>
      </c>
      <c r="I187" s="111"/>
    </row>
    <row r="188" spans="1:9" s="113" customFormat="1" x14ac:dyDescent="0.35">
      <c r="A188" s="79">
        <v>187</v>
      </c>
      <c r="B188" s="79" t="str">
        <f t="shared" si="2"/>
        <v>187T</v>
      </c>
      <c r="C188" s="86">
        <v>2</v>
      </c>
      <c r="D188" s="85" t="s">
        <v>342</v>
      </c>
      <c r="E188" s="90" t="s">
        <v>339</v>
      </c>
      <c r="F188" s="90" t="s">
        <v>0</v>
      </c>
      <c r="G188" s="49" t="s">
        <v>10</v>
      </c>
      <c r="H188" s="85" t="s">
        <v>342</v>
      </c>
      <c r="I188" s="111"/>
    </row>
    <row r="189" spans="1:9" s="113" customFormat="1" x14ac:dyDescent="0.35">
      <c r="A189" s="79">
        <v>188</v>
      </c>
      <c r="B189" s="79" t="str">
        <f t="shared" si="2"/>
        <v>188T</v>
      </c>
      <c r="C189" s="86">
        <v>2</v>
      </c>
      <c r="D189" s="85" t="s">
        <v>342</v>
      </c>
      <c r="E189" s="90" t="s">
        <v>340</v>
      </c>
      <c r="F189" s="90" t="s">
        <v>0</v>
      </c>
      <c r="G189" s="49" t="s">
        <v>10</v>
      </c>
      <c r="H189" s="85" t="s">
        <v>342</v>
      </c>
      <c r="I189" s="111"/>
    </row>
    <row r="190" spans="1:9" s="113" customFormat="1" x14ac:dyDescent="0.35">
      <c r="A190" s="79">
        <v>189</v>
      </c>
      <c r="B190" s="79" t="str">
        <f t="shared" si="2"/>
        <v>189T</v>
      </c>
      <c r="C190" s="86">
        <v>2</v>
      </c>
      <c r="D190" s="85" t="s">
        <v>342</v>
      </c>
      <c r="E190" s="90" t="s">
        <v>341</v>
      </c>
      <c r="F190" s="90" t="s">
        <v>0</v>
      </c>
      <c r="G190" s="49" t="s">
        <v>10</v>
      </c>
      <c r="H190" s="85" t="s">
        <v>342</v>
      </c>
      <c r="I190" s="111"/>
    </row>
    <row r="191" spans="1:9" s="118" customFormat="1" ht="18" x14ac:dyDescent="0.4">
      <c r="A191" s="79">
        <v>190</v>
      </c>
      <c r="B191" s="79" t="str">
        <f t="shared" si="2"/>
        <v>190T</v>
      </c>
      <c r="C191" s="92">
        <v>3</v>
      </c>
      <c r="D191" s="88" t="s">
        <v>749</v>
      </c>
      <c r="E191" s="78" t="s">
        <v>411</v>
      </c>
      <c r="F191" s="94" t="s">
        <v>0</v>
      </c>
      <c r="G191" s="92" t="s">
        <v>10</v>
      </c>
      <c r="H191" s="88" t="s">
        <v>342</v>
      </c>
      <c r="I191" s="89"/>
    </row>
    <row r="192" spans="1:9" x14ac:dyDescent="0.35">
      <c r="A192" s="79">
        <v>191</v>
      </c>
      <c r="B192" s="79" t="str">
        <f t="shared" si="2"/>
        <v>191T</v>
      </c>
      <c r="C192" s="86">
        <v>3</v>
      </c>
      <c r="D192" s="85" t="s">
        <v>749</v>
      </c>
      <c r="E192" s="16" t="s">
        <v>412</v>
      </c>
      <c r="F192" s="90" t="s">
        <v>0</v>
      </c>
      <c r="G192" s="86" t="s">
        <v>10</v>
      </c>
      <c r="H192" s="81" t="s">
        <v>342</v>
      </c>
      <c r="I192" s="114"/>
    </row>
    <row r="193" spans="1:9" x14ac:dyDescent="0.35">
      <c r="A193" s="79">
        <v>192</v>
      </c>
      <c r="B193" s="79" t="str">
        <f t="shared" si="2"/>
        <v>192T</v>
      </c>
      <c r="C193" s="86">
        <v>3</v>
      </c>
      <c r="D193" s="85" t="s">
        <v>749</v>
      </c>
      <c r="E193" s="16" t="s">
        <v>413</v>
      </c>
      <c r="F193" s="90" t="s">
        <v>0</v>
      </c>
      <c r="G193" s="86" t="s">
        <v>10</v>
      </c>
      <c r="H193" s="81" t="s">
        <v>342</v>
      </c>
      <c r="I193" s="114"/>
    </row>
    <row r="194" spans="1:9" x14ac:dyDescent="0.35">
      <c r="A194" s="79">
        <v>193</v>
      </c>
      <c r="B194" s="79" t="str">
        <f t="shared" si="2"/>
        <v>193T</v>
      </c>
      <c r="C194" s="86">
        <v>3</v>
      </c>
      <c r="D194" s="85" t="s">
        <v>749</v>
      </c>
      <c r="E194" s="16" t="s">
        <v>414</v>
      </c>
      <c r="F194" s="90" t="s">
        <v>0</v>
      </c>
      <c r="G194" s="86" t="s">
        <v>10</v>
      </c>
      <c r="H194" s="81" t="s">
        <v>342</v>
      </c>
      <c r="I194" s="114"/>
    </row>
    <row r="195" spans="1:9" x14ac:dyDescent="0.35">
      <c r="A195" s="79">
        <v>194</v>
      </c>
      <c r="B195" s="79" t="str">
        <f t="shared" ref="B195:B258" si="3">CONCATENATE(A195,LEFT(F195,1))</f>
        <v>194T</v>
      </c>
      <c r="C195" s="86">
        <v>3</v>
      </c>
      <c r="D195" s="85" t="s">
        <v>749</v>
      </c>
      <c r="E195" s="16" t="s">
        <v>415</v>
      </c>
      <c r="F195" s="90" t="s">
        <v>0</v>
      </c>
      <c r="G195" s="86" t="s">
        <v>10</v>
      </c>
      <c r="H195" s="81" t="s">
        <v>342</v>
      </c>
      <c r="I195" s="114"/>
    </row>
    <row r="196" spans="1:9" x14ac:dyDescent="0.35">
      <c r="A196" s="79">
        <v>195</v>
      </c>
      <c r="B196" s="79" t="str">
        <f t="shared" si="3"/>
        <v>195T</v>
      </c>
      <c r="C196" s="86">
        <v>3</v>
      </c>
      <c r="D196" s="85" t="s">
        <v>749</v>
      </c>
      <c r="E196" s="16" t="s">
        <v>416</v>
      </c>
      <c r="F196" s="90" t="s">
        <v>0</v>
      </c>
      <c r="G196" s="86" t="s">
        <v>10</v>
      </c>
      <c r="H196" s="81" t="s">
        <v>342</v>
      </c>
      <c r="I196" s="114"/>
    </row>
    <row r="197" spans="1:9" s="118" customFormat="1" ht="18" x14ac:dyDescent="0.4">
      <c r="A197" s="79">
        <v>196</v>
      </c>
      <c r="B197" s="79" t="str">
        <f t="shared" si="3"/>
        <v>196T</v>
      </c>
      <c r="C197" s="92">
        <v>5</v>
      </c>
      <c r="D197" s="94" t="s">
        <v>461</v>
      </c>
      <c r="E197" s="94" t="s">
        <v>450</v>
      </c>
      <c r="F197" s="94" t="s">
        <v>0</v>
      </c>
      <c r="G197" s="92" t="s">
        <v>10</v>
      </c>
      <c r="H197" s="95" t="s">
        <v>342</v>
      </c>
    </row>
    <row r="198" spans="1:9" x14ac:dyDescent="0.35">
      <c r="A198" s="79">
        <v>197</v>
      </c>
      <c r="B198" s="79" t="str">
        <f t="shared" si="3"/>
        <v>197T</v>
      </c>
      <c r="C198" s="86">
        <v>5</v>
      </c>
      <c r="D198" s="85" t="s">
        <v>461</v>
      </c>
      <c r="E198" s="90" t="s">
        <v>451</v>
      </c>
      <c r="F198" s="90" t="s">
        <v>0</v>
      </c>
      <c r="G198" s="86" t="s">
        <v>10</v>
      </c>
      <c r="H198" s="84" t="s">
        <v>342</v>
      </c>
      <c r="I198" s="114"/>
    </row>
    <row r="199" spans="1:9" x14ac:dyDescent="0.35">
      <c r="A199" s="79">
        <v>198</v>
      </c>
      <c r="B199" s="79" t="str">
        <f t="shared" si="3"/>
        <v>198T</v>
      </c>
      <c r="C199" s="86">
        <v>5</v>
      </c>
      <c r="D199" s="85" t="s">
        <v>461</v>
      </c>
      <c r="E199" s="90" t="s">
        <v>452</v>
      </c>
      <c r="F199" s="90" t="s">
        <v>0</v>
      </c>
      <c r="G199" s="86" t="s">
        <v>10</v>
      </c>
      <c r="H199" s="84" t="s">
        <v>342</v>
      </c>
      <c r="I199" s="114"/>
    </row>
    <row r="200" spans="1:9" x14ac:dyDescent="0.35">
      <c r="A200" s="79">
        <v>199</v>
      </c>
      <c r="B200" s="79" t="str">
        <f t="shared" si="3"/>
        <v>199T</v>
      </c>
      <c r="C200" s="86">
        <v>5</v>
      </c>
      <c r="D200" s="85" t="s">
        <v>461</v>
      </c>
      <c r="E200" s="90" t="s">
        <v>453</v>
      </c>
      <c r="F200" s="90" t="s">
        <v>0</v>
      </c>
      <c r="G200" s="86" t="s">
        <v>10</v>
      </c>
      <c r="H200" s="84" t="s">
        <v>342</v>
      </c>
      <c r="I200" s="114"/>
    </row>
    <row r="201" spans="1:9" x14ac:dyDescent="0.35">
      <c r="A201" s="79">
        <v>200</v>
      </c>
      <c r="B201" s="79" t="str">
        <f t="shared" si="3"/>
        <v>200T</v>
      </c>
      <c r="C201" s="86">
        <v>5</v>
      </c>
      <c r="D201" s="85" t="s">
        <v>461</v>
      </c>
      <c r="E201" s="90" t="s">
        <v>454</v>
      </c>
      <c r="F201" s="90" t="s">
        <v>0</v>
      </c>
      <c r="G201" s="86" t="s">
        <v>10</v>
      </c>
      <c r="H201" s="84" t="s">
        <v>342</v>
      </c>
      <c r="I201" s="114"/>
    </row>
    <row r="202" spans="1:9" x14ac:dyDescent="0.35">
      <c r="A202" s="79">
        <v>201</v>
      </c>
      <c r="B202" s="79" t="str">
        <f t="shared" si="3"/>
        <v>201T</v>
      </c>
      <c r="C202" s="86">
        <v>5</v>
      </c>
      <c r="D202" s="85" t="s">
        <v>461</v>
      </c>
      <c r="E202" s="90" t="s">
        <v>455</v>
      </c>
      <c r="F202" s="90" t="s">
        <v>0</v>
      </c>
      <c r="G202" s="86" t="s">
        <v>10</v>
      </c>
      <c r="H202" s="84" t="s">
        <v>342</v>
      </c>
      <c r="I202" s="114"/>
    </row>
    <row r="203" spans="1:9" x14ac:dyDescent="0.35">
      <c r="A203" s="79">
        <v>202</v>
      </c>
      <c r="B203" s="79" t="str">
        <f t="shared" si="3"/>
        <v>202T</v>
      </c>
      <c r="C203" s="86">
        <v>6</v>
      </c>
      <c r="D203" s="85" t="s">
        <v>461</v>
      </c>
      <c r="E203" s="90" t="s">
        <v>477</v>
      </c>
      <c r="F203" s="90" t="s">
        <v>0</v>
      </c>
      <c r="G203" s="86" t="s">
        <v>10</v>
      </c>
      <c r="H203" s="90" t="s">
        <v>342</v>
      </c>
      <c r="I203" s="114"/>
    </row>
    <row r="204" spans="1:9" x14ac:dyDescent="0.35">
      <c r="A204" s="79">
        <v>203</v>
      </c>
      <c r="B204" s="79" t="str">
        <f t="shared" si="3"/>
        <v>203T</v>
      </c>
      <c r="C204" s="86">
        <v>6</v>
      </c>
      <c r="D204" s="85" t="s">
        <v>461</v>
      </c>
      <c r="E204" s="90" t="s">
        <v>478</v>
      </c>
      <c r="F204" s="90" t="s">
        <v>0</v>
      </c>
      <c r="G204" s="86" t="s">
        <v>10</v>
      </c>
      <c r="H204" s="90" t="s">
        <v>342</v>
      </c>
      <c r="I204" s="114"/>
    </row>
    <row r="205" spans="1:9" x14ac:dyDescent="0.35">
      <c r="A205" s="79">
        <v>204</v>
      </c>
      <c r="B205" s="79" t="str">
        <f t="shared" si="3"/>
        <v>204T</v>
      </c>
      <c r="C205" s="86">
        <v>6</v>
      </c>
      <c r="D205" s="85" t="s">
        <v>461</v>
      </c>
      <c r="E205" s="90" t="s">
        <v>479</v>
      </c>
      <c r="F205" s="90" t="s">
        <v>0</v>
      </c>
      <c r="G205" s="86" t="s">
        <v>10</v>
      </c>
      <c r="H205" s="84" t="s">
        <v>342</v>
      </c>
      <c r="I205" s="114"/>
    </row>
    <row r="206" spans="1:9" x14ac:dyDescent="0.35">
      <c r="A206" s="79">
        <v>205</v>
      </c>
      <c r="B206" s="79" t="str">
        <f t="shared" si="3"/>
        <v>205T</v>
      </c>
      <c r="C206" s="86">
        <v>6</v>
      </c>
      <c r="D206" s="85" t="s">
        <v>461</v>
      </c>
      <c r="E206" s="90" t="s">
        <v>480</v>
      </c>
      <c r="F206" s="90" t="s">
        <v>0</v>
      </c>
      <c r="G206" s="86" t="s">
        <v>10</v>
      </c>
      <c r="H206" s="90" t="s">
        <v>72</v>
      </c>
      <c r="I206" s="114"/>
    </row>
    <row r="207" spans="1:9" x14ac:dyDescent="0.35">
      <c r="A207" s="79">
        <v>206</v>
      </c>
      <c r="B207" s="79" t="str">
        <f t="shared" si="3"/>
        <v>206T</v>
      </c>
      <c r="C207" s="86">
        <v>6</v>
      </c>
      <c r="D207" s="85" t="s">
        <v>461</v>
      </c>
      <c r="E207" s="90" t="s">
        <v>481</v>
      </c>
      <c r="F207" s="90" t="s">
        <v>0</v>
      </c>
      <c r="G207" s="86" t="s">
        <v>10</v>
      </c>
      <c r="H207" s="90" t="s">
        <v>73</v>
      </c>
      <c r="I207" s="114"/>
    </row>
    <row r="208" spans="1:9" x14ac:dyDescent="0.35">
      <c r="A208" s="79">
        <v>207</v>
      </c>
      <c r="B208" s="79" t="str">
        <f t="shared" si="3"/>
        <v>207T</v>
      </c>
      <c r="C208" s="86">
        <v>6</v>
      </c>
      <c r="D208" s="85" t="s">
        <v>461</v>
      </c>
      <c r="E208" s="90" t="s">
        <v>482</v>
      </c>
      <c r="F208" s="90" t="s">
        <v>0</v>
      </c>
      <c r="G208" s="86" t="s">
        <v>10</v>
      </c>
      <c r="H208" s="90" t="s">
        <v>75</v>
      </c>
      <c r="I208" s="114"/>
    </row>
    <row r="209" spans="1:9" x14ac:dyDescent="0.35">
      <c r="A209" s="79">
        <v>208</v>
      </c>
      <c r="B209" s="79" t="str">
        <f t="shared" si="3"/>
        <v>208T</v>
      </c>
      <c r="C209" s="86">
        <v>6</v>
      </c>
      <c r="D209" s="85" t="s">
        <v>461</v>
      </c>
      <c r="E209" s="90" t="s">
        <v>483</v>
      </c>
      <c r="F209" s="90" t="s">
        <v>0</v>
      </c>
      <c r="G209" s="86" t="s">
        <v>10</v>
      </c>
      <c r="H209" s="90" t="s">
        <v>74</v>
      </c>
      <c r="I209" s="114"/>
    </row>
    <row r="210" spans="1:9" x14ac:dyDescent="0.35">
      <c r="A210" s="79">
        <v>209</v>
      </c>
      <c r="B210" s="79" t="str">
        <f t="shared" si="3"/>
        <v>209T</v>
      </c>
      <c r="C210" s="86">
        <v>7</v>
      </c>
      <c r="D210" s="85" t="s">
        <v>461</v>
      </c>
      <c r="E210" s="90" t="s">
        <v>494</v>
      </c>
      <c r="F210" s="90" t="s">
        <v>0</v>
      </c>
      <c r="G210" s="86" t="s">
        <v>10</v>
      </c>
      <c r="H210" s="90" t="s">
        <v>70</v>
      </c>
      <c r="I210" s="114"/>
    </row>
    <row r="211" spans="1:9" x14ac:dyDescent="0.35">
      <c r="A211" s="79">
        <v>210</v>
      </c>
      <c r="B211" s="79" t="str">
        <f t="shared" si="3"/>
        <v>210T</v>
      </c>
      <c r="C211" s="86">
        <v>7</v>
      </c>
      <c r="D211" s="85" t="s">
        <v>461</v>
      </c>
      <c r="E211" s="90" t="s">
        <v>495</v>
      </c>
      <c r="F211" s="90" t="s">
        <v>0</v>
      </c>
      <c r="G211" s="86" t="s">
        <v>10</v>
      </c>
      <c r="H211" s="90" t="s">
        <v>69</v>
      </c>
      <c r="I211" s="114"/>
    </row>
    <row r="212" spans="1:9" x14ac:dyDescent="0.35">
      <c r="A212" s="79">
        <v>211</v>
      </c>
      <c r="B212" s="79" t="str">
        <f t="shared" si="3"/>
        <v>211T</v>
      </c>
      <c r="C212" s="86">
        <v>7</v>
      </c>
      <c r="D212" s="85" t="s">
        <v>461</v>
      </c>
      <c r="E212" s="90" t="s">
        <v>496</v>
      </c>
      <c r="F212" s="90" t="s">
        <v>0</v>
      </c>
      <c r="G212" s="86" t="s">
        <v>10</v>
      </c>
      <c r="H212" s="90" t="s">
        <v>76</v>
      </c>
      <c r="I212" s="114"/>
    </row>
    <row r="213" spans="1:9" x14ac:dyDescent="0.35">
      <c r="A213" s="79">
        <v>212</v>
      </c>
      <c r="B213" s="79" t="str">
        <f t="shared" si="3"/>
        <v>212T</v>
      </c>
      <c r="C213" s="86">
        <v>7</v>
      </c>
      <c r="D213" s="85" t="s">
        <v>461</v>
      </c>
      <c r="E213" s="90" t="s">
        <v>497</v>
      </c>
      <c r="F213" s="90" t="s">
        <v>0</v>
      </c>
      <c r="G213" s="86" t="s">
        <v>10</v>
      </c>
      <c r="H213" s="90" t="s">
        <v>71</v>
      </c>
      <c r="I213" s="114"/>
    </row>
    <row r="214" spans="1:9" x14ac:dyDescent="0.35">
      <c r="A214" s="79">
        <v>213</v>
      </c>
      <c r="B214" s="79" t="str">
        <f t="shared" si="3"/>
        <v>213T</v>
      </c>
      <c r="C214" s="86">
        <v>7</v>
      </c>
      <c r="D214" s="85" t="s">
        <v>461</v>
      </c>
      <c r="E214" s="90" t="s">
        <v>498</v>
      </c>
      <c r="F214" s="90" t="s">
        <v>0</v>
      </c>
      <c r="G214" s="86" t="s">
        <v>10</v>
      </c>
      <c r="H214" s="90" t="s">
        <v>77</v>
      </c>
      <c r="I214" s="114"/>
    </row>
    <row r="215" spans="1:9" x14ac:dyDescent="0.35">
      <c r="A215" s="79">
        <v>214</v>
      </c>
      <c r="B215" s="79" t="str">
        <f t="shared" si="3"/>
        <v>214T</v>
      </c>
      <c r="C215" s="86">
        <v>7</v>
      </c>
      <c r="D215" s="85" t="s">
        <v>461</v>
      </c>
      <c r="E215" s="90" t="s">
        <v>499</v>
      </c>
      <c r="F215" s="90" t="s">
        <v>0</v>
      </c>
      <c r="G215" s="86" t="s">
        <v>10</v>
      </c>
      <c r="H215" s="90" t="s">
        <v>78</v>
      </c>
      <c r="I215" s="114"/>
    </row>
    <row r="216" spans="1:9" s="118" customFormat="1" ht="18" x14ac:dyDescent="0.4">
      <c r="A216" s="79">
        <v>215</v>
      </c>
      <c r="B216" s="79" t="str">
        <f t="shared" si="3"/>
        <v>215T</v>
      </c>
      <c r="C216" s="92">
        <v>8</v>
      </c>
      <c r="D216" s="85" t="s">
        <v>461</v>
      </c>
      <c r="E216" s="94" t="s">
        <v>512</v>
      </c>
      <c r="F216" s="94" t="s">
        <v>0</v>
      </c>
      <c r="G216" s="103" t="s">
        <v>10</v>
      </c>
      <c r="H216" s="94" t="s">
        <v>79</v>
      </c>
    </row>
    <row r="217" spans="1:9" x14ac:dyDescent="0.35">
      <c r="A217" s="79">
        <v>216</v>
      </c>
      <c r="B217" s="79" t="str">
        <f t="shared" si="3"/>
        <v>216T</v>
      </c>
      <c r="C217" s="86">
        <v>8</v>
      </c>
      <c r="D217" s="85" t="s">
        <v>461</v>
      </c>
      <c r="E217" s="90" t="s">
        <v>513</v>
      </c>
      <c r="F217" s="90" t="s">
        <v>0</v>
      </c>
      <c r="G217" s="49" t="s">
        <v>10</v>
      </c>
      <c r="H217" s="90" t="s">
        <v>80</v>
      </c>
      <c r="I217" s="114"/>
    </row>
    <row r="218" spans="1:9" x14ac:dyDescent="0.35">
      <c r="A218" s="79">
        <v>217</v>
      </c>
      <c r="B218" s="79" t="str">
        <f t="shared" si="3"/>
        <v>217T</v>
      </c>
      <c r="C218" s="86">
        <v>8</v>
      </c>
      <c r="D218" s="85" t="s">
        <v>461</v>
      </c>
      <c r="E218" s="90" t="s">
        <v>514</v>
      </c>
      <c r="F218" s="90" t="s">
        <v>0</v>
      </c>
      <c r="G218" s="49" t="s">
        <v>10</v>
      </c>
      <c r="H218" s="90" t="s">
        <v>81</v>
      </c>
      <c r="I218" s="114"/>
    </row>
    <row r="219" spans="1:9" x14ac:dyDescent="0.35">
      <c r="A219" s="79">
        <v>218</v>
      </c>
      <c r="B219" s="79" t="str">
        <f t="shared" si="3"/>
        <v>218T</v>
      </c>
      <c r="C219" s="86">
        <v>8</v>
      </c>
      <c r="D219" s="85" t="s">
        <v>461</v>
      </c>
      <c r="E219" s="90" t="s">
        <v>515</v>
      </c>
      <c r="F219" s="90" t="s">
        <v>0</v>
      </c>
      <c r="G219" s="49" t="s">
        <v>10</v>
      </c>
      <c r="H219" s="90" t="s">
        <v>82</v>
      </c>
      <c r="I219" s="114"/>
    </row>
    <row r="220" spans="1:9" x14ac:dyDescent="0.35">
      <c r="A220" s="79">
        <v>219</v>
      </c>
      <c r="B220" s="79" t="str">
        <f t="shared" si="3"/>
        <v>219T</v>
      </c>
      <c r="C220" s="86">
        <v>8</v>
      </c>
      <c r="D220" s="85" t="s">
        <v>461</v>
      </c>
      <c r="E220" s="90" t="s">
        <v>516</v>
      </c>
      <c r="F220" s="90" t="s">
        <v>0</v>
      </c>
      <c r="G220" s="49" t="s">
        <v>10</v>
      </c>
      <c r="H220" s="90" t="s">
        <v>83</v>
      </c>
      <c r="I220" s="114"/>
    </row>
    <row r="221" spans="1:9" x14ac:dyDescent="0.35">
      <c r="A221" s="79">
        <v>220</v>
      </c>
      <c r="B221" s="79" t="str">
        <f t="shared" si="3"/>
        <v>220T</v>
      </c>
      <c r="C221" s="86">
        <v>8</v>
      </c>
      <c r="D221" s="85" t="s">
        <v>461</v>
      </c>
      <c r="E221" s="90" t="s">
        <v>517</v>
      </c>
      <c r="F221" s="90" t="s">
        <v>0</v>
      </c>
      <c r="G221" s="49" t="s">
        <v>10</v>
      </c>
      <c r="H221" s="90" t="s">
        <v>84</v>
      </c>
      <c r="I221" s="114"/>
    </row>
    <row r="222" spans="1:9" x14ac:dyDescent="0.35">
      <c r="A222" s="79">
        <v>221</v>
      </c>
      <c r="B222" s="79" t="str">
        <f t="shared" si="3"/>
        <v>221T</v>
      </c>
      <c r="C222" s="86">
        <v>8</v>
      </c>
      <c r="D222" s="85" t="s">
        <v>461</v>
      </c>
      <c r="E222" s="90" t="s">
        <v>518</v>
      </c>
      <c r="F222" s="90" t="s">
        <v>0</v>
      </c>
      <c r="G222" s="49" t="s">
        <v>10</v>
      </c>
      <c r="H222" s="90" t="s">
        <v>85</v>
      </c>
      <c r="I222" s="114"/>
    </row>
    <row r="223" spans="1:9" x14ac:dyDescent="0.35">
      <c r="A223" s="79">
        <v>222</v>
      </c>
      <c r="B223" s="79" t="str">
        <f t="shared" si="3"/>
        <v>222T</v>
      </c>
      <c r="C223" s="86">
        <v>8</v>
      </c>
      <c r="D223" s="85" t="s">
        <v>461</v>
      </c>
      <c r="E223" s="90" t="s">
        <v>519</v>
      </c>
      <c r="F223" s="90" t="s">
        <v>0</v>
      </c>
      <c r="G223" s="49" t="s">
        <v>10</v>
      </c>
      <c r="H223" s="90" t="s">
        <v>86</v>
      </c>
      <c r="I223" s="114"/>
    </row>
    <row r="224" spans="1:9" x14ac:dyDescent="0.35">
      <c r="A224" s="79">
        <v>223</v>
      </c>
      <c r="B224" s="79" t="str">
        <f t="shared" si="3"/>
        <v>223T</v>
      </c>
      <c r="C224" s="86">
        <v>8</v>
      </c>
      <c r="D224" s="85" t="s">
        <v>461</v>
      </c>
      <c r="E224" s="90" t="s">
        <v>520</v>
      </c>
      <c r="F224" s="90" t="s">
        <v>0</v>
      </c>
      <c r="G224" s="49" t="s">
        <v>10</v>
      </c>
      <c r="H224" s="90" t="s">
        <v>87</v>
      </c>
      <c r="I224" s="114"/>
    </row>
    <row r="225" spans="1:9" x14ac:dyDescent="0.35">
      <c r="A225" s="79">
        <v>224</v>
      </c>
      <c r="B225" s="79" t="str">
        <f t="shared" si="3"/>
        <v>224T</v>
      </c>
      <c r="C225" s="86">
        <v>8</v>
      </c>
      <c r="D225" s="85" t="s">
        <v>461</v>
      </c>
      <c r="E225" s="90" t="s">
        <v>521</v>
      </c>
      <c r="F225" s="90" t="s">
        <v>0</v>
      </c>
      <c r="G225" s="49" t="s">
        <v>10</v>
      </c>
      <c r="H225" s="90" t="s">
        <v>88</v>
      </c>
      <c r="I225" s="114"/>
    </row>
    <row r="226" spans="1:9" x14ac:dyDescent="0.35">
      <c r="A226" s="79">
        <v>225</v>
      </c>
      <c r="B226" s="79" t="str">
        <f t="shared" si="3"/>
        <v>225T</v>
      </c>
      <c r="C226" s="86">
        <v>8</v>
      </c>
      <c r="D226" s="85" t="s">
        <v>461</v>
      </c>
      <c r="E226" s="90" t="s">
        <v>522</v>
      </c>
      <c r="F226" s="90" t="s">
        <v>0</v>
      </c>
      <c r="G226" s="49" t="s">
        <v>10</v>
      </c>
      <c r="H226" s="90" t="s">
        <v>89</v>
      </c>
      <c r="I226" s="114"/>
    </row>
    <row r="227" spans="1:9" x14ac:dyDescent="0.35">
      <c r="A227" s="79">
        <v>226</v>
      </c>
      <c r="B227" s="79" t="str">
        <f t="shared" si="3"/>
        <v>226T</v>
      </c>
      <c r="C227" s="86">
        <v>8</v>
      </c>
      <c r="D227" s="85" t="s">
        <v>461</v>
      </c>
      <c r="E227" s="90" t="s">
        <v>523</v>
      </c>
      <c r="F227" s="90" t="s">
        <v>0</v>
      </c>
      <c r="G227" s="49" t="s">
        <v>10</v>
      </c>
      <c r="H227" s="90" t="s">
        <v>90</v>
      </c>
      <c r="I227" s="114"/>
    </row>
    <row r="228" spans="1:9" x14ac:dyDescent="0.35">
      <c r="A228" s="79">
        <v>227</v>
      </c>
      <c r="B228" s="79" t="str">
        <f t="shared" si="3"/>
        <v>227T</v>
      </c>
      <c r="C228" s="86">
        <v>8</v>
      </c>
      <c r="D228" s="85" t="s">
        <v>461</v>
      </c>
      <c r="E228" s="90" t="s">
        <v>524</v>
      </c>
      <c r="F228" s="90" t="s">
        <v>0</v>
      </c>
      <c r="G228" s="49" t="s">
        <v>10</v>
      </c>
      <c r="H228" s="90" t="s">
        <v>91</v>
      </c>
      <c r="I228" s="114"/>
    </row>
    <row r="229" spans="1:9" x14ac:dyDescent="0.35">
      <c r="A229" s="79">
        <v>228</v>
      </c>
      <c r="B229" s="79" t="str">
        <f t="shared" si="3"/>
        <v>228T</v>
      </c>
      <c r="C229" s="86">
        <v>8</v>
      </c>
      <c r="D229" s="85" t="s">
        <v>461</v>
      </c>
      <c r="E229" s="90" t="s">
        <v>525</v>
      </c>
      <c r="F229" s="90" t="s">
        <v>0</v>
      </c>
      <c r="G229" s="49" t="s">
        <v>10</v>
      </c>
      <c r="H229" s="90" t="s">
        <v>92</v>
      </c>
      <c r="I229" s="114"/>
    </row>
    <row r="230" spans="1:9" x14ac:dyDescent="0.35">
      <c r="A230" s="79">
        <v>229</v>
      </c>
      <c r="B230" s="79" t="str">
        <f t="shared" si="3"/>
        <v>229T</v>
      </c>
      <c r="C230" s="86">
        <v>8</v>
      </c>
      <c r="D230" s="85" t="s">
        <v>461</v>
      </c>
      <c r="E230" s="90" t="s">
        <v>526</v>
      </c>
      <c r="F230" s="90" t="s">
        <v>0</v>
      </c>
      <c r="G230" s="49" t="s">
        <v>10</v>
      </c>
      <c r="H230" s="90" t="s">
        <v>93</v>
      </c>
      <c r="I230" s="114"/>
    </row>
    <row r="231" spans="1:9" s="118" customFormat="1" ht="18" x14ac:dyDescent="0.4">
      <c r="A231" s="79">
        <v>230</v>
      </c>
      <c r="B231" s="79" t="str">
        <f t="shared" si="3"/>
        <v>230T</v>
      </c>
      <c r="C231" s="92">
        <v>9</v>
      </c>
      <c r="D231" s="85" t="s">
        <v>461</v>
      </c>
      <c r="E231" s="78" t="s">
        <v>540</v>
      </c>
      <c r="F231" s="94" t="s">
        <v>0</v>
      </c>
      <c r="G231" s="49" t="s">
        <v>10</v>
      </c>
      <c r="H231" s="88" t="s">
        <v>94</v>
      </c>
    </row>
    <row r="232" spans="1:9" x14ac:dyDescent="0.35">
      <c r="A232" s="79">
        <v>231</v>
      </c>
      <c r="B232" s="79" t="str">
        <f t="shared" si="3"/>
        <v>231T</v>
      </c>
      <c r="C232" s="86">
        <v>9</v>
      </c>
      <c r="D232" s="85" t="s">
        <v>461</v>
      </c>
      <c r="E232" s="16" t="s">
        <v>541</v>
      </c>
      <c r="F232" s="90" t="s">
        <v>0</v>
      </c>
      <c r="G232" s="49" t="s">
        <v>10</v>
      </c>
      <c r="H232" s="85" t="s">
        <v>95</v>
      </c>
      <c r="I232" s="114"/>
    </row>
    <row r="233" spans="1:9" x14ac:dyDescent="0.35">
      <c r="A233" s="79">
        <v>232</v>
      </c>
      <c r="B233" s="79" t="str">
        <f t="shared" si="3"/>
        <v>232T</v>
      </c>
      <c r="C233" s="86">
        <v>9</v>
      </c>
      <c r="D233" s="85" t="s">
        <v>461</v>
      </c>
      <c r="E233" s="16" t="s">
        <v>542</v>
      </c>
      <c r="F233" s="90" t="s">
        <v>0</v>
      </c>
      <c r="G233" s="49" t="s">
        <v>10</v>
      </c>
      <c r="H233" s="85" t="s">
        <v>96</v>
      </c>
      <c r="I233" s="114"/>
    </row>
    <row r="234" spans="1:9" x14ac:dyDescent="0.35">
      <c r="A234" s="79">
        <v>233</v>
      </c>
      <c r="B234" s="79" t="str">
        <f t="shared" si="3"/>
        <v>233T</v>
      </c>
      <c r="C234" s="86">
        <v>9</v>
      </c>
      <c r="D234" s="85" t="s">
        <v>461</v>
      </c>
      <c r="E234" s="16" t="s">
        <v>543</v>
      </c>
      <c r="F234" s="90" t="s">
        <v>0</v>
      </c>
      <c r="G234" s="49" t="s">
        <v>10</v>
      </c>
      <c r="H234" s="85" t="s">
        <v>97</v>
      </c>
      <c r="I234" s="114"/>
    </row>
    <row r="235" spans="1:9" x14ac:dyDescent="0.35">
      <c r="A235" s="79">
        <v>234</v>
      </c>
      <c r="B235" s="79" t="str">
        <f t="shared" si="3"/>
        <v>234T</v>
      </c>
      <c r="C235" s="86">
        <v>9</v>
      </c>
      <c r="D235" s="85" t="s">
        <v>461</v>
      </c>
      <c r="E235" s="16" t="s">
        <v>544</v>
      </c>
      <c r="F235" s="90" t="s">
        <v>0</v>
      </c>
      <c r="G235" s="49" t="s">
        <v>10</v>
      </c>
      <c r="H235" s="85" t="s">
        <v>90</v>
      </c>
      <c r="I235" s="114"/>
    </row>
    <row r="236" spans="1:9" x14ac:dyDescent="0.35">
      <c r="A236" s="79">
        <v>235</v>
      </c>
      <c r="B236" s="79" t="str">
        <f t="shared" si="3"/>
        <v>235T</v>
      </c>
      <c r="C236" s="86">
        <v>9</v>
      </c>
      <c r="D236" s="85" t="s">
        <v>461</v>
      </c>
      <c r="E236" s="16" t="s">
        <v>545</v>
      </c>
      <c r="F236" s="90" t="s">
        <v>0</v>
      </c>
      <c r="G236" s="49" t="s">
        <v>10</v>
      </c>
      <c r="H236" s="85" t="s">
        <v>82</v>
      </c>
      <c r="I236" s="114"/>
    </row>
    <row r="237" spans="1:9" x14ac:dyDescent="0.35">
      <c r="A237" s="79">
        <v>236</v>
      </c>
      <c r="B237" s="79" t="str">
        <f t="shared" si="3"/>
        <v>236T</v>
      </c>
      <c r="C237" s="86">
        <v>9</v>
      </c>
      <c r="D237" s="85" t="s">
        <v>461</v>
      </c>
      <c r="E237" s="16" t="s">
        <v>546</v>
      </c>
      <c r="F237" s="90" t="s">
        <v>0</v>
      </c>
      <c r="G237" s="49" t="s">
        <v>10</v>
      </c>
      <c r="H237" s="85" t="s">
        <v>98</v>
      </c>
      <c r="I237" s="114"/>
    </row>
    <row r="238" spans="1:9" x14ac:dyDescent="0.35">
      <c r="A238" s="79">
        <v>237</v>
      </c>
      <c r="B238" s="79" t="str">
        <f t="shared" si="3"/>
        <v>237T</v>
      </c>
      <c r="C238" s="86">
        <v>9</v>
      </c>
      <c r="D238" s="85" t="s">
        <v>461</v>
      </c>
      <c r="E238" s="16" t="s">
        <v>547</v>
      </c>
      <c r="F238" s="90" t="s">
        <v>0</v>
      </c>
      <c r="G238" s="49" t="s">
        <v>10</v>
      </c>
      <c r="H238" s="85" t="s">
        <v>88</v>
      </c>
      <c r="I238" s="114"/>
    </row>
    <row r="239" spans="1:9" x14ac:dyDescent="0.35">
      <c r="A239" s="79">
        <v>238</v>
      </c>
      <c r="B239" s="79" t="str">
        <f t="shared" si="3"/>
        <v>238T</v>
      </c>
      <c r="C239" s="86">
        <v>9</v>
      </c>
      <c r="D239" s="85" t="s">
        <v>461</v>
      </c>
      <c r="E239" s="16" t="s">
        <v>548</v>
      </c>
      <c r="F239" s="90" t="s">
        <v>0</v>
      </c>
      <c r="G239" s="49" t="s">
        <v>10</v>
      </c>
      <c r="H239" s="85" t="s">
        <v>89</v>
      </c>
      <c r="I239" s="114"/>
    </row>
    <row r="240" spans="1:9" x14ac:dyDescent="0.35">
      <c r="A240" s="79">
        <v>239</v>
      </c>
      <c r="B240" s="79" t="str">
        <f t="shared" si="3"/>
        <v>239T</v>
      </c>
      <c r="C240" s="86">
        <v>9</v>
      </c>
      <c r="D240" s="85" t="s">
        <v>461</v>
      </c>
      <c r="E240" s="16" t="s">
        <v>549</v>
      </c>
      <c r="F240" s="90" t="s">
        <v>0</v>
      </c>
      <c r="G240" s="49" t="s">
        <v>10</v>
      </c>
      <c r="H240" s="85" t="s">
        <v>83</v>
      </c>
      <c r="I240" s="114"/>
    </row>
    <row r="241" spans="1:9" x14ac:dyDescent="0.35">
      <c r="A241" s="79">
        <v>240</v>
      </c>
      <c r="B241" s="79" t="str">
        <f t="shared" si="3"/>
        <v>240T</v>
      </c>
      <c r="C241" s="86">
        <v>9</v>
      </c>
      <c r="D241" s="85" t="s">
        <v>461</v>
      </c>
      <c r="E241" s="16" t="s">
        <v>550</v>
      </c>
      <c r="F241" s="90" t="s">
        <v>0</v>
      </c>
      <c r="G241" s="49" t="s">
        <v>10</v>
      </c>
      <c r="H241" s="85" t="s">
        <v>99</v>
      </c>
      <c r="I241" s="114"/>
    </row>
    <row r="242" spans="1:9" x14ac:dyDescent="0.35">
      <c r="A242" s="79">
        <v>241</v>
      </c>
      <c r="B242" s="79" t="str">
        <f t="shared" si="3"/>
        <v>241T</v>
      </c>
      <c r="C242" s="86">
        <v>9</v>
      </c>
      <c r="D242" s="85" t="s">
        <v>461</v>
      </c>
      <c r="E242" s="16" t="s">
        <v>551</v>
      </c>
      <c r="F242" s="90" t="s">
        <v>0</v>
      </c>
      <c r="G242" s="49" t="s">
        <v>10</v>
      </c>
      <c r="H242" s="85" t="s">
        <v>91</v>
      </c>
      <c r="I242" s="114"/>
    </row>
    <row r="243" spans="1:9" x14ac:dyDescent="0.35">
      <c r="A243" s="79">
        <v>242</v>
      </c>
      <c r="B243" s="79" t="str">
        <f t="shared" si="3"/>
        <v>242T</v>
      </c>
      <c r="C243" s="86">
        <v>9</v>
      </c>
      <c r="D243" s="85" t="s">
        <v>461</v>
      </c>
      <c r="E243" s="16" t="s">
        <v>552</v>
      </c>
      <c r="F243" s="90" t="s">
        <v>0</v>
      </c>
      <c r="G243" s="49" t="s">
        <v>10</v>
      </c>
      <c r="H243" s="85" t="s">
        <v>100</v>
      </c>
      <c r="I243" s="114"/>
    </row>
    <row r="244" spans="1:9" x14ac:dyDescent="0.35">
      <c r="A244" s="79">
        <v>243</v>
      </c>
      <c r="B244" s="79" t="str">
        <f t="shared" si="3"/>
        <v>243T</v>
      </c>
      <c r="C244" s="86">
        <v>9</v>
      </c>
      <c r="D244" s="85" t="s">
        <v>461</v>
      </c>
      <c r="E244" s="16" t="s">
        <v>553</v>
      </c>
      <c r="F244" s="90" t="s">
        <v>0</v>
      </c>
      <c r="G244" s="49" t="s">
        <v>10</v>
      </c>
      <c r="H244" s="85" t="s">
        <v>101</v>
      </c>
      <c r="I244" s="114"/>
    </row>
    <row r="245" spans="1:9" x14ac:dyDescent="0.35">
      <c r="A245" s="79">
        <v>244</v>
      </c>
      <c r="B245" s="79" t="str">
        <f t="shared" si="3"/>
        <v>244T</v>
      </c>
      <c r="C245" s="86">
        <v>9</v>
      </c>
      <c r="D245" s="85" t="s">
        <v>461</v>
      </c>
      <c r="E245" s="16" t="s">
        <v>554</v>
      </c>
      <c r="F245" s="90" t="s">
        <v>0</v>
      </c>
      <c r="G245" s="49" t="s">
        <v>10</v>
      </c>
      <c r="H245" s="85" t="s">
        <v>102</v>
      </c>
      <c r="I245" s="114"/>
    </row>
    <row r="246" spans="1:9" s="118" customFormat="1" ht="18" x14ac:dyDescent="0.4">
      <c r="A246" s="79">
        <v>245</v>
      </c>
      <c r="B246" s="79" t="str">
        <f t="shared" si="3"/>
        <v>245T</v>
      </c>
      <c r="C246" s="92">
        <v>9</v>
      </c>
      <c r="D246" s="85" t="s">
        <v>461</v>
      </c>
      <c r="E246" s="78" t="s">
        <v>560</v>
      </c>
      <c r="F246" s="94" t="s">
        <v>0</v>
      </c>
      <c r="G246" s="49" t="s">
        <v>10</v>
      </c>
      <c r="H246" s="88" t="s">
        <v>103</v>
      </c>
    </row>
    <row r="247" spans="1:9" x14ac:dyDescent="0.35">
      <c r="A247" s="79">
        <v>246</v>
      </c>
      <c r="B247" s="79" t="str">
        <f t="shared" si="3"/>
        <v>246T</v>
      </c>
      <c r="C247" s="86">
        <v>9</v>
      </c>
      <c r="D247" s="85" t="s">
        <v>461</v>
      </c>
      <c r="E247" s="16" t="s">
        <v>561</v>
      </c>
      <c r="F247" s="90" t="s">
        <v>0</v>
      </c>
      <c r="G247" s="49" t="s">
        <v>10</v>
      </c>
      <c r="H247" s="85" t="s">
        <v>104</v>
      </c>
      <c r="I247" s="114"/>
    </row>
    <row r="248" spans="1:9" x14ac:dyDescent="0.35">
      <c r="A248" s="79">
        <v>247</v>
      </c>
      <c r="B248" s="79" t="str">
        <f t="shared" si="3"/>
        <v>247T</v>
      </c>
      <c r="C248" s="86">
        <v>9</v>
      </c>
      <c r="D248" s="85" t="s">
        <v>461</v>
      </c>
      <c r="E248" s="16" t="s">
        <v>562</v>
      </c>
      <c r="F248" s="90" t="s">
        <v>0</v>
      </c>
      <c r="G248" s="49" t="s">
        <v>10</v>
      </c>
      <c r="H248" s="85" t="s">
        <v>105</v>
      </c>
      <c r="I248" s="114"/>
    </row>
    <row r="249" spans="1:9" x14ac:dyDescent="0.35">
      <c r="A249" s="79">
        <v>248</v>
      </c>
      <c r="B249" s="79" t="str">
        <f t="shared" si="3"/>
        <v>248T</v>
      </c>
      <c r="C249" s="86">
        <v>9</v>
      </c>
      <c r="D249" s="85" t="s">
        <v>461</v>
      </c>
      <c r="E249" s="16" t="s">
        <v>563</v>
      </c>
      <c r="F249" s="90" t="s">
        <v>0</v>
      </c>
      <c r="G249" s="49" t="s">
        <v>10</v>
      </c>
      <c r="H249" s="85" t="s">
        <v>106</v>
      </c>
      <c r="I249" s="114"/>
    </row>
    <row r="250" spans="1:9" x14ac:dyDescent="0.35">
      <c r="A250" s="79">
        <v>249</v>
      </c>
      <c r="B250" s="79" t="str">
        <f t="shared" si="3"/>
        <v>249T</v>
      </c>
      <c r="C250" s="86">
        <v>9</v>
      </c>
      <c r="D250" s="85" t="s">
        <v>461</v>
      </c>
      <c r="E250" s="16" t="s">
        <v>564</v>
      </c>
      <c r="F250" s="90" t="s">
        <v>0</v>
      </c>
      <c r="G250" s="49" t="s">
        <v>10</v>
      </c>
      <c r="H250" s="85" t="s">
        <v>107</v>
      </c>
      <c r="I250" s="114"/>
    </row>
    <row r="251" spans="1:9" x14ac:dyDescent="0.35">
      <c r="A251" s="79">
        <v>250</v>
      </c>
      <c r="B251" s="79" t="str">
        <f t="shared" si="3"/>
        <v>250T</v>
      </c>
      <c r="C251" s="86">
        <v>9</v>
      </c>
      <c r="D251" s="85" t="s">
        <v>461</v>
      </c>
      <c r="E251" s="16" t="s">
        <v>565</v>
      </c>
      <c r="F251" s="90" t="s">
        <v>0</v>
      </c>
      <c r="G251" s="49" t="s">
        <v>10</v>
      </c>
      <c r="H251" s="85" t="s">
        <v>108</v>
      </c>
      <c r="I251" s="114"/>
    </row>
    <row r="252" spans="1:9" x14ac:dyDescent="0.35">
      <c r="A252" s="79">
        <v>251</v>
      </c>
      <c r="B252" s="79" t="str">
        <f t="shared" si="3"/>
        <v>251T</v>
      </c>
      <c r="C252" s="86">
        <v>9</v>
      </c>
      <c r="D252" s="85" t="s">
        <v>461</v>
      </c>
      <c r="E252" s="16" t="s">
        <v>566</v>
      </c>
      <c r="F252" s="90" t="s">
        <v>0</v>
      </c>
      <c r="G252" s="49" t="s">
        <v>10</v>
      </c>
      <c r="H252" s="85" t="s">
        <v>109</v>
      </c>
      <c r="I252" s="114"/>
    </row>
    <row r="253" spans="1:9" x14ac:dyDescent="0.35">
      <c r="A253" s="79">
        <v>252</v>
      </c>
      <c r="B253" s="79" t="str">
        <f t="shared" si="3"/>
        <v>252T</v>
      </c>
      <c r="C253" s="86">
        <v>9</v>
      </c>
      <c r="D253" s="85" t="s">
        <v>461</v>
      </c>
      <c r="E253" s="16" t="s">
        <v>567</v>
      </c>
      <c r="F253" s="90" t="s">
        <v>0</v>
      </c>
      <c r="G253" s="49" t="s">
        <v>10</v>
      </c>
      <c r="H253" s="85" t="s">
        <v>110</v>
      </c>
      <c r="I253" s="114"/>
    </row>
    <row r="254" spans="1:9" x14ac:dyDescent="0.35">
      <c r="A254" s="79">
        <v>253</v>
      </c>
      <c r="B254" s="79" t="str">
        <f t="shared" si="3"/>
        <v>253T</v>
      </c>
      <c r="C254" s="86">
        <v>9</v>
      </c>
      <c r="D254" s="85" t="s">
        <v>461</v>
      </c>
      <c r="E254" s="16" t="s">
        <v>568</v>
      </c>
      <c r="F254" s="90" t="s">
        <v>0</v>
      </c>
      <c r="G254" s="49" t="s">
        <v>10</v>
      </c>
      <c r="H254" s="85" t="s">
        <v>115</v>
      </c>
      <c r="I254" s="114"/>
    </row>
    <row r="255" spans="1:9" x14ac:dyDescent="0.35">
      <c r="A255" s="79">
        <v>254</v>
      </c>
      <c r="B255" s="79" t="str">
        <f t="shared" si="3"/>
        <v>254T</v>
      </c>
      <c r="C255" s="86">
        <v>9</v>
      </c>
      <c r="D255" s="85" t="s">
        <v>461</v>
      </c>
      <c r="E255" s="16" t="s">
        <v>569</v>
      </c>
      <c r="F255" s="90" t="s">
        <v>0</v>
      </c>
      <c r="G255" s="49" t="s">
        <v>10</v>
      </c>
      <c r="H255" s="85" t="s">
        <v>111</v>
      </c>
      <c r="I255" s="114"/>
    </row>
    <row r="256" spans="1:9" x14ac:dyDescent="0.35">
      <c r="A256" s="79">
        <v>255</v>
      </c>
      <c r="B256" s="79" t="str">
        <f t="shared" si="3"/>
        <v>255T</v>
      </c>
      <c r="C256" s="86">
        <v>9</v>
      </c>
      <c r="D256" s="85" t="s">
        <v>461</v>
      </c>
      <c r="E256" s="16" t="s">
        <v>570</v>
      </c>
      <c r="F256" s="90" t="s">
        <v>0</v>
      </c>
      <c r="G256" s="49" t="s">
        <v>10</v>
      </c>
      <c r="H256" s="85" t="s">
        <v>112</v>
      </c>
      <c r="I256" s="114"/>
    </row>
    <row r="257" spans="1:9" x14ac:dyDescent="0.35">
      <c r="A257" s="79">
        <v>256</v>
      </c>
      <c r="B257" s="79" t="str">
        <f t="shared" si="3"/>
        <v>256T</v>
      </c>
      <c r="C257" s="86">
        <v>9</v>
      </c>
      <c r="D257" s="85" t="s">
        <v>461</v>
      </c>
      <c r="E257" s="16" t="s">
        <v>571</v>
      </c>
      <c r="F257" s="90" t="s">
        <v>0</v>
      </c>
      <c r="G257" s="49" t="s">
        <v>10</v>
      </c>
      <c r="H257" s="85" t="s">
        <v>113</v>
      </c>
      <c r="I257" s="114"/>
    </row>
    <row r="258" spans="1:9" x14ac:dyDescent="0.35">
      <c r="A258" s="79">
        <v>257</v>
      </c>
      <c r="B258" s="79" t="str">
        <f t="shared" si="3"/>
        <v>257T</v>
      </c>
      <c r="C258" s="86">
        <v>9</v>
      </c>
      <c r="D258" s="85" t="s">
        <v>461</v>
      </c>
      <c r="E258" s="16" t="s">
        <v>572</v>
      </c>
      <c r="F258" s="90" t="s">
        <v>0</v>
      </c>
      <c r="G258" s="49" t="s">
        <v>10</v>
      </c>
      <c r="H258" s="85" t="s">
        <v>114</v>
      </c>
      <c r="I258" s="114"/>
    </row>
    <row r="259" spans="1:9" x14ac:dyDescent="0.35">
      <c r="A259" s="79">
        <v>258</v>
      </c>
      <c r="B259" s="79" t="str">
        <f t="shared" ref="B259:B322" si="4">CONCATENATE(A259,LEFT(F259,1))</f>
        <v>258T</v>
      </c>
      <c r="C259" s="86">
        <v>9</v>
      </c>
      <c r="D259" s="85" t="s">
        <v>461</v>
      </c>
      <c r="E259" s="16" t="s">
        <v>573</v>
      </c>
      <c r="F259" s="90" t="s">
        <v>0</v>
      </c>
      <c r="G259" s="49" t="s">
        <v>10</v>
      </c>
      <c r="H259" s="85" t="s">
        <v>116</v>
      </c>
      <c r="I259" s="114"/>
    </row>
    <row r="260" spans="1:9" x14ac:dyDescent="0.35">
      <c r="A260" s="79">
        <v>259</v>
      </c>
      <c r="B260" s="79" t="str">
        <f t="shared" si="4"/>
        <v>259T</v>
      </c>
      <c r="C260" s="86">
        <v>9</v>
      </c>
      <c r="D260" s="85" t="s">
        <v>461</v>
      </c>
      <c r="E260" s="16" t="s">
        <v>574</v>
      </c>
      <c r="F260" s="90" t="s">
        <v>0</v>
      </c>
      <c r="G260" s="49" t="s">
        <v>10</v>
      </c>
      <c r="H260" s="85" t="s">
        <v>117</v>
      </c>
      <c r="I260" s="114"/>
    </row>
    <row r="261" spans="1:9" s="118" customFormat="1" ht="18" x14ac:dyDescent="0.4">
      <c r="A261" s="79">
        <v>260</v>
      </c>
      <c r="B261" s="79" t="str">
        <f t="shared" si="4"/>
        <v>260F</v>
      </c>
      <c r="C261" s="92">
        <v>10</v>
      </c>
      <c r="D261" s="85" t="s">
        <v>461</v>
      </c>
      <c r="E261" s="78" t="s">
        <v>575</v>
      </c>
      <c r="F261" s="94" t="s">
        <v>1</v>
      </c>
      <c r="G261" s="49" t="s">
        <v>10</v>
      </c>
      <c r="H261" s="88" t="s">
        <v>590</v>
      </c>
      <c r="I261" s="88"/>
    </row>
    <row r="262" spans="1:9" x14ac:dyDescent="0.35">
      <c r="A262" s="79">
        <v>261</v>
      </c>
      <c r="B262" s="79" t="str">
        <f t="shared" si="4"/>
        <v>261F</v>
      </c>
      <c r="C262" s="86">
        <v>10</v>
      </c>
      <c r="D262" s="85" t="s">
        <v>461</v>
      </c>
      <c r="E262" s="16" t="s">
        <v>576</v>
      </c>
      <c r="F262" s="90" t="s">
        <v>1</v>
      </c>
      <c r="G262" s="49" t="s">
        <v>10</v>
      </c>
      <c r="H262" s="85" t="s">
        <v>590</v>
      </c>
      <c r="I262" s="85"/>
    </row>
    <row r="263" spans="1:9" x14ac:dyDescent="0.35">
      <c r="A263" s="79">
        <v>262</v>
      </c>
      <c r="B263" s="79" t="str">
        <f t="shared" si="4"/>
        <v>262F</v>
      </c>
      <c r="C263" s="86">
        <v>10</v>
      </c>
      <c r="D263" s="85" t="s">
        <v>461</v>
      </c>
      <c r="E263" s="16" t="s">
        <v>577</v>
      </c>
      <c r="F263" s="90" t="s">
        <v>1</v>
      </c>
      <c r="G263" s="49" t="s">
        <v>10</v>
      </c>
      <c r="H263" s="85" t="s">
        <v>590</v>
      </c>
      <c r="I263" s="85"/>
    </row>
    <row r="264" spans="1:9" x14ac:dyDescent="0.35">
      <c r="A264" s="79">
        <v>263</v>
      </c>
      <c r="B264" s="79" t="str">
        <f t="shared" si="4"/>
        <v>263F</v>
      </c>
      <c r="C264" s="86">
        <v>10</v>
      </c>
      <c r="D264" s="85" t="s">
        <v>461</v>
      </c>
      <c r="E264" s="16" t="s">
        <v>578</v>
      </c>
      <c r="F264" s="90" t="s">
        <v>1</v>
      </c>
      <c r="G264" s="49" t="s">
        <v>10</v>
      </c>
      <c r="H264" s="85" t="s">
        <v>590</v>
      </c>
      <c r="I264" s="85"/>
    </row>
    <row r="265" spans="1:9" x14ac:dyDescent="0.35">
      <c r="A265" s="79">
        <v>264</v>
      </c>
      <c r="B265" s="79" t="str">
        <f t="shared" si="4"/>
        <v>264F</v>
      </c>
      <c r="C265" s="86">
        <v>10</v>
      </c>
      <c r="D265" s="85" t="s">
        <v>461</v>
      </c>
      <c r="E265" s="16" t="s">
        <v>579</v>
      </c>
      <c r="F265" s="90" t="s">
        <v>1</v>
      </c>
      <c r="G265" s="49" t="s">
        <v>10</v>
      </c>
      <c r="H265" s="85" t="s">
        <v>590</v>
      </c>
      <c r="I265" s="85"/>
    </row>
    <row r="266" spans="1:9" x14ac:dyDescent="0.35">
      <c r="A266" s="79">
        <v>265</v>
      </c>
      <c r="B266" s="79" t="str">
        <f t="shared" si="4"/>
        <v>265F</v>
      </c>
      <c r="C266" s="86">
        <v>10</v>
      </c>
      <c r="D266" s="85" t="s">
        <v>461</v>
      </c>
      <c r="E266" s="16" t="s">
        <v>580</v>
      </c>
      <c r="F266" s="90" t="s">
        <v>1</v>
      </c>
      <c r="G266" s="49" t="s">
        <v>10</v>
      </c>
      <c r="H266" s="85" t="s">
        <v>590</v>
      </c>
      <c r="I266" s="85"/>
    </row>
    <row r="267" spans="1:9" x14ac:dyDescent="0.35">
      <c r="A267" s="79">
        <v>266</v>
      </c>
      <c r="B267" s="79" t="str">
        <f t="shared" si="4"/>
        <v>266F</v>
      </c>
      <c r="C267" s="86">
        <v>10</v>
      </c>
      <c r="D267" s="85" t="s">
        <v>461</v>
      </c>
      <c r="E267" s="16" t="s">
        <v>581</v>
      </c>
      <c r="F267" s="90" t="s">
        <v>1</v>
      </c>
      <c r="G267" s="49" t="s">
        <v>10</v>
      </c>
      <c r="H267" s="85" t="s">
        <v>590</v>
      </c>
      <c r="I267" s="85"/>
    </row>
    <row r="268" spans="1:9" x14ac:dyDescent="0.35">
      <c r="A268" s="79">
        <v>267</v>
      </c>
      <c r="B268" s="79" t="str">
        <f t="shared" si="4"/>
        <v>267F</v>
      </c>
      <c r="C268" s="86">
        <v>10</v>
      </c>
      <c r="D268" s="85" t="s">
        <v>461</v>
      </c>
      <c r="E268" s="16" t="s">
        <v>582</v>
      </c>
      <c r="F268" s="90" t="s">
        <v>1</v>
      </c>
      <c r="G268" s="49" t="s">
        <v>10</v>
      </c>
      <c r="H268" s="85" t="s">
        <v>590</v>
      </c>
      <c r="I268" s="85"/>
    </row>
    <row r="269" spans="1:9" x14ac:dyDescent="0.35">
      <c r="A269" s="79">
        <v>268</v>
      </c>
      <c r="B269" s="79" t="str">
        <f t="shared" si="4"/>
        <v>268F</v>
      </c>
      <c r="C269" s="86">
        <v>10</v>
      </c>
      <c r="D269" s="85" t="s">
        <v>461</v>
      </c>
      <c r="E269" s="16" t="s">
        <v>583</v>
      </c>
      <c r="F269" s="90" t="s">
        <v>1</v>
      </c>
      <c r="G269" s="49" t="s">
        <v>10</v>
      </c>
      <c r="H269" s="85" t="s">
        <v>590</v>
      </c>
      <c r="I269" s="85"/>
    </row>
    <row r="270" spans="1:9" x14ac:dyDescent="0.35">
      <c r="A270" s="79">
        <v>269</v>
      </c>
      <c r="B270" s="79" t="str">
        <f t="shared" si="4"/>
        <v>269F</v>
      </c>
      <c r="C270" s="86">
        <v>10</v>
      </c>
      <c r="D270" s="85" t="s">
        <v>461</v>
      </c>
      <c r="E270" s="16" t="s">
        <v>584</v>
      </c>
      <c r="F270" s="90" t="s">
        <v>1</v>
      </c>
      <c r="G270" s="49" t="s">
        <v>10</v>
      </c>
      <c r="H270" s="85" t="s">
        <v>590</v>
      </c>
      <c r="I270" s="85"/>
    </row>
    <row r="271" spans="1:9" x14ac:dyDescent="0.35">
      <c r="A271" s="79">
        <v>270</v>
      </c>
      <c r="B271" s="79" t="str">
        <f t="shared" si="4"/>
        <v>270F</v>
      </c>
      <c r="C271" s="86">
        <v>10</v>
      </c>
      <c r="D271" s="85" t="s">
        <v>461</v>
      </c>
      <c r="E271" s="16" t="s">
        <v>585</v>
      </c>
      <c r="F271" s="90" t="s">
        <v>1</v>
      </c>
      <c r="G271" s="49" t="s">
        <v>10</v>
      </c>
      <c r="H271" s="85" t="s">
        <v>590</v>
      </c>
      <c r="I271" s="85"/>
    </row>
    <row r="272" spans="1:9" x14ac:dyDescent="0.35">
      <c r="A272" s="79">
        <v>271</v>
      </c>
      <c r="B272" s="79" t="str">
        <f t="shared" si="4"/>
        <v>271F</v>
      </c>
      <c r="C272" s="86">
        <v>10</v>
      </c>
      <c r="D272" s="85" t="s">
        <v>461</v>
      </c>
      <c r="E272" s="16" t="s">
        <v>586</v>
      </c>
      <c r="F272" s="90" t="s">
        <v>1</v>
      </c>
      <c r="G272" s="49" t="s">
        <v>10</v>
      </c>
      <c r="H272" s="85" t="s">
        <v>590</v>
      </c>
      <c r="I272" s="85"/>
    </row>
    <row r="273" spans="1:9" x14ac:dyDescent="0.35">
      <c r="A273" s="79">
        <v>272</v>
      </c>
      <c r="B273" s="79" t="str">
        <f t="shared" si="4"/>
        <v>272F</v>
      </c>
      <c r="C273" s="86">
        <v>10</v>
      </c>
      <c r="D273" s="85" t="s">
        <v>461</v>
      </c>
      <c r="E273" s="16" t="s">
        <v>587</v>
      </c>
      <c r="F273" s="90" t="s">
        <v>1</v>
      </c>
      <c r="G273" s="49" t="s">
        <v>10</v>
      </c>
      <c r="H273" s="85" t="s">
        <v>590</v>
      </c>
      <c r="I273" s="85"/>
    </row>
    <row r="274" spans="1:9" x14ac:dyDescent="0.35">
      <c r="A274" s="79">
        <v>273</v>
      </c>
      <c r="B274" s="79" t="str">
        <f t="shared" si="4"/>
        <v>273F</v>
      </c>
      <c r="C274" s="86">
        <v>10</v>
      </c>
      <c r="D274" s="85" t="s">
        <v>461</v>
      </c>
      <c r="E274" s="16" t="s">
        <v>588</v>
      </c>
      <c r="F274" s="90" t="s">
        <v>1</v>
      </c>
      <c r="G274" s="49" t="s">
        <v>10</v>
      </c>
      <c r="H274" s="85" t="s">
        <v>590</v>
      </c>
      <c r="I274" s="85"/>
    </row>
    <row r="275" spans="1:9" x14ac:dyDescent="0.35">
      <c r="A275" s="79">
        <v>274</v>
      </c>
      <c r="B275" s="79" t="str">
        <f t="shared" si="4"/>
        <v>274F</v>
      </c>
      <c r="C275" s="86">
        <v>10</v>
      </c>
      <c r="D275" s="85" t="s">
        <v>461</v>
      </c>
      <c r="E275" s="16" t="s">
        <v>589</v>
      </c>
      <c r="F275" s="90" t="s">
        <v>1</v>
      </c>
      <c r="G275" s="49" t="s">
        <v>10</v>
      </c>
      <c r="H275" s="85" t="s">
        <v>590</v>
      </c>
      <c r="I275" s="85"/>
    </row>
    <row r="276" spans="1:9" s="118" customFormat="1" ht="18" x14ac:dyDescent="0.4">
      <c r="A276" s="79">
        <v>275</v>
      </c>
      <c r="B276" s="79" t="str">
        <f t="shared" si="4"/>
        <v>275T</v>
      </c>
      <c r="C276" s="92">
        <v>11</v>
      </c>
      <c r="D276" s="85" t="s">
        <v>461</v>
      </c>
      <c r="E276" s="78" t="s">
        <v>598</v>
      </c>
      <c r="F276" s="94" t="s">
        <v>0</v>
      </c>
      <c r="G276" s="92" t="s">
        <v>10</v>
      </c>
      <c r="H276" s="105" t="s">
        <v>618</v>
      </c>
      <c r="I276" s="88"/>
    </row>
    <row r="277" spans="1:9" x14ac:dyDescent="0.35">
      <c r="A277" s="79">
        <v>276</v>
      </c>
      <c r="B277" s="79" t="str">
        <f t="shared" si="4"/>
        <v>276T</v>
      </c>
      <c r="C277" s="86">
        <v>11</v>
      </c>
      <c r="D277" s="85" t="s">
        <v>461</v>
      </c>
      <c r="E277" s="16" t="s">
        <v>599</v>
      </c>
      <c r="F277" s="106" t="s">
        <v>0</v>
      </c>
      <c r="G277" s="86" t="s">
        <v>10</v>
      </c>
      <c r="H277" s="106" t="s">
        <v>618</v>
      </c>
      <c r="I277" s="85"/>
    </row>
    <row r="278" spans="1:9" x14ac:dyDescent="0.35">
      <c r="A278" s="79">
        <v>277</v>
      </c>
      <c r="B278" s="79" t="str">
        <f t="shared" si="4"/>
        <v>277T</v>
      </c>
      <c r="C278" s="86">
        <v>11</v>
      </c>
      <c r="D278" s="85" t="s">
        <v>461</v>
      </c>
      <c r="E278" s="16" t="s">
        <v>600</v>
      </c>
      <c r="F278" s="106" t="s">
        <v>0</v>
      </c>
      <c r="G278" s="86" t="s">
        <v>10</v>
      </c>
      <c r="H278" s="106" t="s">
        <v>618</v>
      </c>
      <c r="I278" s="85"/>
    </row>
    <row r="279" spans="1:9" x14ac:dyDescent="0.35">
      <c r="A279" s="79">
        <v>278</v>
      </c>
      <c r="B279" s="79" t="str">
        <f t="shared" si="4"/>
        <v>278T</v>
      </c>
      <c r="C279" s="86">
        <v>11</v>
      </c>
      <c r="D279" s="85" t="s">
        <v>461</v>
      </c>
      <c r="E279" s="16" t="s">
        <v>601</v>
      </c>
      <c r="F279" s="106" t="s">
        <v>0</v>
      </c>
      <c r="G279" s="86" t="s">
        <v>10</v>
      </c>
      <c r="H279" s="106" t="s">
        <v>618</v>
      </c>
      <c r="I279" s="85"/>
    </row>
    <row r="280" spans="1:9" x14ac:dyDescent="0.35">
      <c r="A280" s="79">
        <v>279</v>
      </c>
      <c r="B280" s="79" t="str">
        <f t="shared" si="4"/>
        <v>279T</v>
      </c>
      <c r="C280" s="86">
        <v>11</v>
      </c>
      <c r="D280" s="85" t="s">
        <v>461</v>
      </c>
      <c r="E280" s="16" t="s">
        <v>602</v>
      </c>
      <c r="F280" s="106" t="s">
        <v>0</v>
      </c>
      <c r="G280" s="86" t="s">
        <v>10</v>
      </c>
      <c r="H280" s="106" t="s">
        <v>618</v>
      </c>
      <c r="I280" s="85"/>
    </row>
    <row r="281" spans="1:9" x14ac:dyDescent="0.35">
      <c r="A281" s="79">
        <v>280</v>
      </c>
      <c r="B281" s="79" t="str">
        <f t="shared" si="4"/>
        <v>280T</v>
      </c>
      <c r="C281" s="86">
        <v>11</v>
      </c>
      <c r="D281" s="85" t="s">
        <v>461</v>
      </c>
      <c r="E281" s="16" t="s">
        <v>603</v>
      </c>
      <c r="F281" s="106" t="s">
        <v>0</v>
      </c>
      <c r="G281" s="86" t="s">
        <v>10</v>
      </c>
      <c r="H281" s="106" t="s">
        <v>618</v>
      </c>
      <c r="I281" s="85"/>
    </row>
    <row r="282" spans="1:9" x14ac:dyDescent="0.35">
      <c r="A282" s="79">
        <v>281</v>
      </c>
      <c r="B282" s="79" t="str">
        <f t="shared" si="4"/>
        <v>281T</v>
      </c>
      <c r="C282" s="86">
        <v>11</v>
      </c>
      <c r="D282" s="85" t="s">
        <v>461</v>
      </c>
      <c r="E282" s="16" t="s">
        <v>604</v>
      </c>
      <c r="F282" s="106" t="s">
        <v>0</v>
      </c>
      <c r="G282" s="86" t="s">
        <v>10</v>
      </c>
      <c r="H282" s="106" t="s">
        <v>618</v>
      </c>
      <c r="I282" s="85"/>
    </row>
    <row r="283" spans="1:9" x14ac:dyDescent="0.35">
      <c r="A283" s="79">
        <v>282</v>
      </c>
      <c r="B283" s="79" t="str">
        <f t="shared" si="4"/>
        <v>282T</v>
      </c>
      <c r="C283" s="86">
        <v>11</v>
      </c>
      <c r="D283" s="85" t="s">
        <v>461</v>
      </c>
      <c r="E283" s="16" t="s">
        <v>605</v>
      </c>
      <c r="F283" s="106" t="s">
        <v>0</v>
      </c>
      <c r="G283" s="86" t="s">
        <v>10</v>
      </c>
      <c r="H283" s="106" t="s">
        <v>618</v>
      </c>
      <c r="I283" s="85"/>
    </row>
    <row r="284" spans="1:9" x14ac:dyDescent="0.35">
      <c r="A284" s="79">
        <v>283</v>
      </c>
      <c r="B284" s="79" t="str">
        <f t="shared" si="4"/>
        <v>283T</v>
      </c>
      <c r="C284" s="86">
        <v>11</v>
      </c>
      <c r="D284" s="85" t="s">
        <v>461</v>
      </c>
      <c r="E284" s="16" t="s">
        <v>606</v>
      </c>
      <c r="F284" s="106" t="s">
        <v>0</v>
      </c>
      <c r="G284" s="86" t="s">
        <v>10</v>
      </c>
      <c r="H284" s="106" t="s">
        <v>618</v>
      </c>
      <c r="I284" s="85"/>
    </row>
    <row r="285" spans="1:9" x14ac:dyDescent="0.35">
      <c r="A285" s="79">
        <v>284</v>
      </c>
      <c r="B285" s="79" t="str">
        <f t="shared" si="4"/>
        <v>284T</v>
      </c>
      <c r="C285" s="86">
        <v>11</v>
      </c>
      <c r="D285" s="85" t="s">
        <v>461</v>
      </c>
      <c r="E285" s="16" t="s">
        <v>607</v>
      </c>
      <c r="F285" s="106" t="s">
        <v>0</v>
      </c>
      <c r="G285" s="86" t="s">
        <v>10</v>
      </c>
      <c r="H285" s="106" t="s">
        <v>618</v>
      </c>
      <c r="I285" s="85"/>
    </row>
    <row r="286" spans="1:9" x14ac:dyDescent="0.35">
      <c r="A286" s="79">
        <v>285</v>
      </c>
      <c r="B286" s="79" t="str">
        <f t="shared" si="4"/>
        <v>285T</v>
      </c>
      <c r="C286" s="86">
        <v>11</v>
      </c>
      <c r="D286" s="85" t="s">
        <v>461</v>
      </c>
      <c r="E286" s="16" t="s">
        <v>608</v>
      </c>
      <c r="F286" s="106" t="s">
        <v>0</v>
      </c>
      <c r="G286" s="86" t="s">
        <v>10</v>
      </c>
      <c r="H286" s="106" t="s">
        <v>618</v>
      </c>
      <c r="I286" s="85"/>
    </row>
    <row r="287" spans="1:9" x14ac:dyDescent="0.35">
      <c r="A287" s="79">
        <v>286</v>
      </c>
      <c r="B287" s="79" t="str">
        <f t="shared" si="4"/>
        <v>286T</v>
      </c>
      <c r="C287" s="86">
        <v>11</v>
      </c>
      <c r="D287" s="85" t="s">
        <v>461</v>
      </c>
      <c r="E287" s="16" t="s">
        <v>609</v>
      </c>
      <c r="F287" s="106" t="s">
        <v>0</v>
      </c>
      <c r="G287" s="86" t="s">
        <v>10</v>
      </c>
      <c r="H287" s="106" t="s">
        <v>618</v>
      </c>
      <c r="I287" s="85"/>
    </row>
    <row r="288" spans="1:9" x14ac:dyDescent="0.35">
      <c r="A288" s="79">
        <v>287</v>
      </c>
      <c r="B288" s="79" t="str">
        <f t="shared" si="4"/>
        <v>287T</v>
      </c>
      <c r="C288" s="86">
        <v>11</v>
      </c>
      <c r="D288" s="85" t="s">
        <v>461</v>
      </c>
      <c r="E288" s="16" t="s">
        <v>610</v>
      </c>
      <c r="F288" s="106" t="s">
        <v>0</v>
      </c>
      <c r="G288" s="86" t="s">
        <v>10</v>
      </c>
      <c r="H288" s="106" t="s">
        <v>618</v>
      </c>
      <c r="I288" s="85"/>
    </row>
    <row r="289" spans="1:9" x14ac:dyDescent="0.35">
      <c r="A289" s="79">
        <v>288</v>
      </c>
      <c r="B289" s="79" t="str">
        <f t="shared" si="4"/>
        <v>288T</v>
      </c>
      <c r="C289" s="86">
        <v>11</v>
      </c>
      <c r="D289" s="85" t="s">
        <v>461</v>
      </c>
      <c r="E289" s="16" t="s">
        <v>611</v>
      </c>
      <c r="F289" s="106" t="s">
        <v>0</v>
      </c>
      <c r="G289" s="86" t="s">
        <v>10</v>
      </c>
      <c r="H289" s="106" t="s">
        <v>618</v>
      </c>
      <c r="I289" s="85"/>
    </row>
    <row r="290" spans="1:9" x14ac:dyDescent="0.35">
      <c r="A290" s="79">
        <v>289</v>
      </c>
      <c r="B290" s="79" t="str">
        <f t="shared" si="4"/>
        <v>289T</v>
      </c>
      <c r="C290" s="86">
        <v>11</v>
      </c>
      <c r="D290" s="85" t="s">
        <v>461</v>
      </c>
      <c r="E290" s="16" t="s">
        <v>612</v>
      </c>
      <c r="F290" s="106" t="s">
        <v>0</v>
      </c>
      <c r="G290" s="86" t="s">
        <v>10</v>
      </c>
      <c r="H290" s="106" t="s">
        <v>618</v>
      </c>
      <c r="I290" s="85"/>
    </row>
    <row r="291" spans="1:9" x14ac:dyDescent="0.35">
      <c r="A291" s="79">
        <v>290</v>
      </c>
      <c r="B291" s="79" t="str">
        <f t="shared" si="4"/>
        <v>290T</v>
      </c>
      <c r="C291" s="86">
        <v>11</v>
      </c>
      <c r="D291" s="85" t="s">
        <v>461</v>
      </c>
      <c r="E291" s="16" t="s">
        <v>613</v>
      </c>
      <c r="F291" s="106" t="s">
        <v>0</v>
      </c>
      <c r="G291" s="86" t="s">
        <v>10</v>
      </c>
      <c r="H291" s="106" t="s">
        <v>618</v>
      </c>
      <c r="I291" s="85"/>
    </row>
    <row r="292" spans="1:9" x14ac:dyDescent="0.35">
      <c r="A292" s="79">
        <v>291</v>
      </c>
      <c r="B292" s="79" t="str">
        <f t="shared" si="4"/>
        <v>291T</v>
      </c>
      <c r="C292" s="86">
        <v>11</v>
      </c>
      <c r="D292" s="85" t="s">
        <v>461</v>
      </c>
      <c r="E292" s="16" t="s">
        <v>614</v>
      </c>
      <c r="F292" s="106" t="s">
        <v>0</v>
      </c>
      <c r="G292" s="86" t="s">
        <v>10</v>
      </c>
      <c r="H292" s="106" t="s">
        <v>618</v>
      </c>
      <c r="I292" s="85"/>
    </row>
    <row r="293" spans="1:9" x14ac:dyDescent="0.35">
      <c r="A293" s="79">
        <v>292</v>
      </c>
      <c r="B293" s="79" t="str">
        <f t="shared" si="4"/>
        <v>292T</v>
      </c>
      <c r="C293" s="86">
        <v>11</v>
      </c>
      <c r="D293" s="85" t="s">
        <v>461</v>
      </c>
      <c r="E293" s="16" t="s">
        <v>615</v>
      </c>
      <c r="F293" s="106" t="s">
        <v>0</v>
      </c>
      <c r="G293" s="86" t="s">
        <v>10</v>
      </c>
      <c r="H293" s="106" t="s">
        <v>618</v>
      </c>
      <c r="I293" s="85"/>
    </row>
    <row r="294" spans="1:9" x14ac:dyDescent="0.35">
      <c r="A294" s="79">
        <v>293</v>
      </c>
      <c r="B294" s="79" t="str">
        <f t="shared" si="4"/>
        <v>293T</v>
      </c>
      <c r="C294" s="86">
        <v>11</v>
      </c>
      <c r="D294" s="85" t="s">
        <v>461</v>
      </c>
      <c r="E294" s="16" t="s">
        <v>616</v>
      </c>
      <c r="F294" s="106" t="s">
        <v>0</v>
      </c>
      <c r="G294" s="86" t="s">
        <v>10</v>
      </c>
      <c r="H294" s="106" t="s">
        <v>618</v>
      </c>
      <c r="I294" s="85"/>
    </row>
    <row r="295" spans="1:9" x14ac:dyDescent="0.35">
      <c r="A295" s="79">
        <v>294</v>
      </c>
      <c r="B295" s="79" t="str">
        <f t="shared" si="4"/>
        <v>294T</v>
      </c>
      <c r="C295" s="86">
        <v>11</v>
      </c>
      <c r="D295" s="85" t="s">
        <v>461</v>
      </c>
      <c r="E295" s="16" t="s">
        <v>617</v>
      </c>
      <c r="F295" s="106" t="s">
        <v>0</v>
      </c>
      <c r="G295" s="86" t="s">
        <v>10</v>
      </c>
      <c r="H295" s="106" t="s">
        <v>618</v>
      </c>
      <c r="I295" s="85"/>
    </row>
    <row r="296" spans="1:9" s="118" customFormat="1" ht="18" x14ac:dyDescent="0.4">
      <c r="A296" s="79">
        <v>295</v>
      </c>
      <c r="B296" s="79" t="str">
        <f t="shared" si="4"/>
        <v>295T</v>
      </c>
      <c r="C296" s="92">
        <v>12</v>
      </c>
      <c r="D296" s="85" t="s">
        <v>461</v>
      </c>
      <c r="E296" s="78" t="s">
        <v>623</v>
      </c>
      <c r="F296" s="105" t="s">
        <v>0</v>
      </c>
      <c r="G296" s="92" t="s">
        <v>10</v>
      </c>
      <c r="H296" s="105" t="s">
        <v>646</v>
      </c>
      <c r="I296" s="88"/>
    </row>
    <row r="297" spans="1:9" x14ac:dyDescent="0.35">
      <c r="A297" s="79">
        <v>296</v>
      </c>
      <c r="B297" s="79" t="str">
        <f t="shared" si="4"/>
        <v>296T</v>
      </c>
      <c r="C297" s="86">
        <v>12</v>
      </c>
      <c r="D297" s="85" t="s">
        <v>461</v>
      </c>
      <c r="E297" s="16" t="s">
        <v>624</v>
      </c>
      <c r="F297" s="106" t="s">
        <v>0</v>
      </c>
      <c r="G297" s="86" t="s">
        <v>10</v>
      </c>
      <c r="H297" s="106" t="s">
        <v>646</v>
      </c>
      <c r="I297" s="49"/>
    </row>
    <row r="298" spans="1:9" x14ac:dyDescent="0.35">
      <c r="A298" s="79">
        <v>297</v>
      </c>
      <c r="B298" s="79" t="str">
        <f t="shared" si="4"/>
        <v>297T</v>
      </c>
      <c r="C298" s="86">
        <v>12</v>
      </c>
      <c r="D298" s="85" t="s">
        <v>461</v>
      </c>
      <c r="E298" s="16" t="s">
        <v>625</v>
      </c>
      <c r="F298" s="106" t="s">
        <v>0</v>
      </c>
      <c r="G298" s="86" t="s">
        <v>10</v>
      </c>
      <c r="H298" s="106" t="s">
        <v>646</v>
      </c>
      <c r="I298" s="49"/>
    </row>
    <row r="299" spans="1:9" x14ac:dyDescent="0.35">
      <c r="A299" s="79">
        <v>298</v>
      </c>
      <c r="B299" s="79" t="str">
        <f t="shared" si="4"/>
        <v>298T</v>
      </c>
      <c r="C299" s="86">
        <v>12</v>
      </c>
      <c r="D299" s="85" t="s">
        <v>461</v>
      </c>
      <c r="E299" s="16" t="s">
        <v>626</v>
      </c>
      <c r="F299" s="106" t="s">
        <v>0</v>
      </c>
      <c r="G299" s="86" t="s">
        <v>10</v>
      </c>
      <c r="H299" s="106" t="s">
        <v>646</v>
      </c>
      <c r="I299" s="49"/>
    </row>
    <row r="300" spans="1:9" x14ac:dyDescent="0.35">
      <c r="A300" s="79">
        <v>299</v>
      </c>
      <c r="B300" s="79" t="str">
        <f t="shared" si="4"/>
        <v>299T</v>
      </c>
      <c r="C300" s="86">
        <v>12</v>
      </c>
      <c r="D300" s="85" t="s">
        <v>461</v>
      </c>
      <c r="E300" s="16" t="s">
        <v>627</v>
      </c>
      <c r="F300" s="106" t="s">
        <v>0</v>
      </c>
      <c r="G300" s="86" t="s">
        <v>10</v>
      </c>
      <c r="H300" s="106" t="s">
        <v>646</v>
      </c>
      <c r="I300" s="49"/>
    </row>
    <row r="301" spans="1:9" x14ac:dyDescent="0.35">
      <c r="A301" s="79">
        <v>300</v>
      </c>
      <c r="B301" s="79" t="str">
        <f t="shared" si="4"/>
        <v>300T</v>
      </c>
      <c r="C301" s="86">
        <v>12</v>
      </c>
      <c r="D301" s="85" t="s">
        <v>461</v>
      </c>
      <c r="E301" s="16" t="s">
        <v>628</v>
      </c>
      <c r="F301" s="106" t="s">
        <v>0</v>
      </c>
      <c r="G301" s="86" t="s">
        <v>10</v>
      </c>
      <c r="H301" s="106" t="s">
        <v>646</v>
      </c>
      <c r="I301" s="49"/>
    </row>
    <row r="302" spans="1:9" x14ac:dyDescent="0.35">
      <c r="A302" s="79">
        <v>301</v>
      </c>
      <c r="B302" s="79" t="str">
        <f t="shared" si="4"/>
        <v>301T</v>
      </c>
      <c r="C302" s="86">
        <v>12</v>
      </c>
      <c r="D302" s="85" t="s">
        <v>461</v>
      </c>
      <c r="E302" s="16" t="s">
        <v>629</v>
      </c>
      <c r="F302" s="106" t="s">
        <v>0</v>
      </c>
      <c r="G302" s="86" t="s">
        <v>10</v>
      </c>
      <c r="H302" s="106" t="s">
        <v>646</v>
      </c>
      <c r="I302" s="49"/>
    </row>
    <row r="303" spans="1:9" x14ac:dyDescent="0.35">
      <c r="A303" s="79">
        <v>302</v>
      </c>
      <c r="B303" s="79" t="str">
        <f t="shared" si="4"/>
        <v>302T</v>
      </c>
      <c r="C303" s="86">
        <v>12</v>
      </c>
      <c r="D303" s="85" t="s">
        <v>461</v>
      </c>
      <c r="E303" s="16" t="s">
        <v>630</v>
      </c>
      <c r="F303" s="106" t="s">
        <v>0</v>
      </c>
      <c r="G303" s="86" t="s">
        <v>10</v>
      </c>
      <c r="H303" s="106" t="s">
        <v>646</v>
      </c>
      <c r="I303" s="49"/>
    </row>
    <row r="304" spans="1:9" x14ac:dyDescent="0.35">
      <c r="A304" s="79">
        <v>303</v>
      </c>
      <c r="B304" s="79" t="str">
        <f t="shared" si="4"/>
        <v>303T</v>
      </c>
      <c r="C304" s="86">
        <v>12</v>
      </c>
      <c r="D304" s="85" t="s">
        <v>461</v>
      </c>
      <c r="E304" s="16" t="s">
        <v>631</v>
      </c>
      <c r="F304" s="106" t="s">
        <v>0</v>
      </c>
      <c r="G304" s="86" t="s">
        <v>10</v>
      </c>
      <c r="H304" s="106" t="s">
        <v>646</v>
      </c>
      <c r="I304" s="49"/>
    </row>
    <row r="305" spans="1:9" x14ac:dyDescent="0.35">
      <c r="A305" s="79">
        <v>304</v>
      </c>
      <c r="B305" s="79" t="str">
        <f t="shared" si="4"/>
        <v>304T</v>
      </c>
      <c r="C305" s="86">
        <v>12</v>
      </c>
      <c r="D305" s="85" t="s">
        <v>461</v>
      </c>
      <c r="E305" s="16" t="s">
        <v>632</v>
      </c>
      <c r="F305" s="106" t="s">
        <v>0</v>
      </c>
      <c r="G305" s="86" t="s">
        <v>10</v>
      </c>
      <c r="H305" s="106" t="s">
        <v>646</v>
      </c>
      <c r="I305" s="49"/>
    </row>
    <row r="306" spans="1:9" x14ac:dyDescent="0.35">
      <c r="A306" s="79">
        <v>305</v>
      </c>
      <c r="B306" s="79" t="str">
        <f t="shared" si="4"/>
        <v>305T</v>
      </c>
      <c r="C306" s="86">
        <v>12</v>
      </c>
      <c r="D306" s="85" t="s">
        <v>461</v>
      </c>
      <c r="E306" s="16" t="s">
        <v>633</v>
      </c>
      <c r="F306" s="106" t="s">
        <v>0</v>
      </c>
      <c r="G306" s="86" t="s">
        <v>10</v>
      </c>
      <c r="H306" s="106" t="s">
        <v>646</v>
      </c>
      <c r="I306" s="49"/>
    </row>
    <row r="307" spans="1:9" x14ac:dyDescent="0.35">
      <c r="A307" s="79">
        <v>306</v>
      </c>
      <c r="B307" s="79" t="str">
        <f t="shared" si="4"/>
        <v>306T</v>
      </c>
      <c r="C307" s="86">
        <v>12</v>
      </c>
      <c r="D307" s="85" t="s">
        <v>461</v>
      </c>
      <c r="E307" s="16" t="s">
        <v>634</v>
      </c>
      <c r="F307" s="106" t="s">
        <v>0</v>
      </c>
      <c r="G307" s="86" t="s">
        <v>10</v>
      </c>
      <c r="H307" s="106" t="s">
        <v>646</v>
      </c>
      <c r="I307" s="49"/>
    </row>
    <row r="308" spans="1:9" x14ac:dyDescent="0.35">
      <c r="A308" s="79">
        <v>307</v>
      </c>
      <c r="B308" s="79" t="str">
        <f t="shared" si="4"/>
        <v>307T</v>
      </c>
      <c r="C308" s="86">
        <v>12</v>
      </c>
      <c r="D308" s="85" t="s">
        <v>461</v>
      </c>
      <c r="E308" s="16" t="s">
        <v>635</v>
      </c>
      <c r="F308" s="106" t="s">
        <v>0</v>
      </c>
      <c r="G308" s="86" t="s">
        <v>10</v>
      </c>
      <c r="H308" s="106" t="s">
        <v>646</v>
      </c>
      <c r="I308" s="49"/>
    </row>
    <row r="309" spans="1:9" x14ac:dyDescent="0.35">
      <c r="A309" s="79">
        <v>308</v>
      </c>
      <c r="B309" s="79" t="str">
        <f t="shared" si="4"/>
        <v>308T</v>
      </c>
      <c r="C309" s="86">
        <v>12</v>
      </c>
      <c r="D309" s="85" t="s">
        <v>461</v>
      </c>
      <c r="E309" s="16" t="s">
        <v>636</v>
      </c>
      <c r="F309" s="106" t="s">
        <v>0</v>
      </c>
      <c r="G309" s="86" t="s">
        <v>10</v>
      </c>
      <c r="H309" s="106" t="s">
        <v>646</v>
      </c>
      <c r="I309" s="49"/>
    </row>
    <row r="310" spans="1:9" x14ac:dyDescent="0.35">
      <c r="A310" s="79">
        <v>309</v>
      </c>
      <c r="B310" s="79" t="str">
        <f t="shared" si="4"/>
        <v>309T</v>
      </c>
      <c r="C310" s="86">
        <v>12</v>
      </c>
      <c r="D310" s="85" t="s">
        <v>461</v>
      </c>
      <c r="E310" s="16" t="s">
        <v>637</v>
      </c>
      <c r="F310" s="106" t="s">
        <v>0</v>
      </c>
      <c r="G310" s="86" t="s">
        <v>10</v>
      </c>
      <c r="H310" s="106" t="s">
        <v>646</v>
      </c>
      <c r="I310" s="49"/>
    </row>
    <row r="311" spans="1:9" x14ac:dyDescent="0.35">
      <c r="A311" s="79">
        <v>310</v>
      </c>
      <c r="B311" s="79" t="str">
        <f t="shared" si="4"/>
        <v>310T</v>
      </c>
      <c r="C311" s="86">
        <v>12</v>
      </c>
      <c r="D311" s="85" t="s">
        <v>461</v>
      </c>
      <c r="E311" s="16" t="s">
        <v>638</v>
      </c>
      <c r="F311" s="106" t="s">
        <v>0</v>
      </c>
      <c r="G311" s="86" t="s">
        <v>10</v>
      </c>
      <c r="H311" s="106" t="s">
        <v>646</v>
      </c>
      <c r="I311" s="49"/>
    </row>
    <row r="312" spans="1:9" x14ac:dyDescent="0.35">
      <c r="A312" s="79">
        <v>311</v>
      </c>
      <c r="B312" s="79" t="str">
        <f t="shared" si="4"/>
        <v>311T</v>
      </c>
      <c r="C312" s="86">
        <v>12</v>
      </c>
      <c r="D312" s="85" t="s">
        <v>461</v>
      </c>
      <c r="E312" s="16" t="s">
        <v>639</v>
      </c>
      <c r="F312" s="106" t="s">
        <v>0</v>
      </c>
      <c r="G312" s="86" t="s">
        <v>10</v>
      </c>
      <c r="H312" s="106" t="s">
        <v>646</v>
      </c>
      <c r="I312" s="49"/>
    </row>
    <row r="313" spans="1:9" x14ac:dyDescent="0.35">
      <c r="A313" s="79">
        <v>312</v>
      </c>
      <c r="B313" s="79" t="str">
        <f t="shared" si="4"/>
        <v>312T</v>
      </c>
      <c r="C313" s="86">
        <v>12</v>
      </c>
      <c r="D313" s="85" t="s">
        <v>461</v>
      </c>
      <c r="E313" s="16" t="s">
        <v>640</v>
      </c>
      <c r="F313" s="106" t="s">
        <v>0</v>
      </c>
      <c r="G313" s="86" t="s">
        <v>10</v>
      </c>
      <c r="H313" s="106" t="s">
        <v>646</v>
      </c>
      <c r="I313" s="49"/>
    </row>
    <row r="314" spans="1:9" x14ac:dyDescent="0.35">
      <c r="A314" s="79">
        <v>313</v>
      </c>
      <c r="B314" s="79" t="str">
        <f t="shared" si="4"/>
        <v>313T</v>
      </c>
      <c r="C314" s="86">
        <v>12</v>
      </c>
      <c r="D314" s="85" t="s">
        <v>461</v>
      </c>
      <c r="E314" s="16" t="s">
        <v>641</v>
      </c>
      <c r="F314" s="106" t="s">
        <v>0</v>
      </c>
      <c r="G314" s="86" t="s">
        <v>10</v>
      </c>
      <c r="H314" s="106" t="s">
        <v>646</v>
      </c>
      <c r="I314" s="49"/>
    </row>
    <row r="315" spans="1:9" x14ac:dyDescent="0.35">
      <c r="A315" s="79">
        <v>314</v>
      </c>
      <c r="B315" s="79" t="str">
        <f t="shared" si="4"/>
        <v>314T</v>
      </c>
      <c r="C315" s="86">
        <v>12</v>
      </c>
      <c r="D315" s="85" t="s">
        <v>461</v>
      </c>
      <c r="E315" s="16" t="s">
        <v>642</v>
      </c>
      <c r="F315" s="106" t="s">
        <v>0</v>
      </c>
      <c r="G315" s="86" t="s">
        <v>10</v>
      </c>
      <c r="H315" s="106" t="s">
        <v>646</v>
      </c>
      <c r="I315" s="49"/>
    </row>
    <row r="316" spans="1:9" x14ac:dyDescent="0.35">
      <c r="A316" s="79">
        <v>315</v>
      </c>
      <c r="B316" s="79" t="str">
        <f t="shared" si="4"/>
        <v>315T</v>
      </c>
      <c r="C316" s="86">
        <v>12</v>
      </c>
      <c r="D316" s="85" t="s">
        <v>461</v>
      </c>
      <c r="E316" s="16" t="s">
        <v>643</v>
      </c>
      <c r="F316" s="106" t="s">
        <v>0</v>
      </c>
      <c r="G316" s="86" t="s">
        <v>10</v>
      </c>
      <c r="H316" s="106" t="s">
        <v>646</v>
      </c>
      <c r="I316" s="49"/>
    </row>
    <row r="317" spans="1:9" x14ac:dyDescent="0.35">
      <c r="A317" s="79">
        <v>316</v>
      </c>
      <c r="B317" s="79" t="str">
        <f t="shared" si="4"/>
        <v>316T</v>
      </c>
      <c r="C317" s="86">
        <v>12</v>
      </c>
      <c r="D317" s="85" t="s">
        <v>461</v>
      </c>
      <c r="E317" s="16" t="s">
        <v>644</v>
      </c>
      <c r="F317" s="106" t="s">
        <v>0</v>
      </c>
      <c r="G317" s="86" t="s">
        <v>10</v>
      </c>
      <c r="H317" s="106" t="s">
        <v>646</v>
      </c>
      <c r="I317" s="49"/>
    </row>
    <row r="318" spans="1:9" x14ac:dyDescent="0.35">
      <c r="A318" s="79">
        <v>317</v>
      </c>
      <c r="B318" s="79" t="str">
        <f t="shared" si="4"/>
        <v>317T</v>
      </c>
      <c r="C318" s="86">
        <v>12</v>
      </c>
      <c r="D318" s="85" t="s">
        <v>461</v>
      </c>
      <c r="E318" s="16" t="s">
        <v>645</v>
      </c>
      <c r="F318" s="106" t="s">
        <v>0</v>
      </c>
      <c r="G318" s="86" t="s">
        <v>10</v>
      </c>
      <c r="H318" s="106" t="s">
        <v>646</v>
      </c>
      <c r="I318" s="49"/>
    </row>
    <row r="319" spans="1:9" s="118" customFormat="1" ht="18" x14ac:dyDescent="0.4">
      <c r="A319" s="79">
        <v>318</v>
      </c>
      <c r="B319" s="79" t="str">
        <f t="shared" si="4"/>
        <v>318T</v>
      </c>
      <c r="C319" s="92">
        <v>13</v>
      </c>
      <c r="D319" s="85" t="s">
        <v>461</v>
      </c>
      <c r="E319" s="94" t="s">
        <v>650</v>
      </c>
      <c r="F319" s="105" t="s">
        <v>0</v>
      </c>
      <c r="G319" s="103" t="s">
        <v>10</v>
      </c>
      <c r="H319" s="105" t="s">
        <v>663</v>
      </c>
      <c r="I319" s="88"/>
    </row>
    <row r="320" spans="1:9" x14ac:dyDescent="0.35">
      <c r="A320" s="79">
        <v>319</v>
      </c>
      <c r="B320" s="79" t="str">
        <f t="shared" si="4"/>
        <v>319T</v>
      </c>
      <c r="C320" s="86">
        <v>13</v>
      </c>
      <c r="D320" s="85" t="s">
        <v>461</v>
      </c>
      <c r="E320" s="90" t="s">
        <v>651</v>
      </c>
      <c r="F320" s="106" t="s">
        <v>0</v>
      </c>
      <c r="G320" s="49" t="s">
        <v>10</v>
      </c>
      <c r="H320" s="106" t="s">
        <v>663</v>
      </c>
      <c r="I320" s="85"/>
    </row>
    <row r="321" spans="1:9" x14ac:dyDescent="0.35">
      <c r="A321" s="79">
        <v>320</v>
      </c>
      <c r="B321" s="79" t="str">
        <f t="shared" si="4"/>
        <v>320T</v>
      </c>
      <c r="C321" s="86">
        <v>13</v>
      </c>
      <c r="D321" s="85" t="s">
        <v>461</v>
      </c>
      <c r="E321" s="90" t="s">
        <v>652</v>
      </c>
      <c r="F321" s="106" t="s">
        <v>0</v>
      </c>
      <c r="G321" s="49" t="s">
        <v>10</v>
      </c>
      <c r="H321" s="106" t="s">
        <v>663</v>
      </c>
      <c r="I321" s="85"/>
    </row>
    <row r="322" spans="1:9" x14ac:dyDescent="0.35">
      <c r="A322" s="79">
        <v>321</v>
      </c>
      <c r="B322" s="79" t="str">
        <f t="shared" si="4"/>
        <v>321T</v>
      </c>
      <c r="C322" s="86">
        <v>13</v>
      </c>
      <c r="D322" s="85" t="s">
        <v>461</v>
      </c>
      <c r="E322" s="90" t="s">
        <v>653</v>
      </c>
      <c r="F322" s="106" t="s">
        <v>0</v>
      </c>
      <c r="G322" s="49" t="s">
        <v>10</v>
      </c>
      <c r="H322" s="106" t="s">
        <v>663</v>
      </c>
      <c r="I322" s="85"/>
    </row>
    <row r="323" spans="1:9" x14ac:dyDescent="0.35">
      <c r="A323" s="79">
        <v>322</v>
      </c>
      <c r="B323" s="79" t="str">
        <f t="shared" ref="B323:B377" si="5">CONCATENATE(A323,LEFT(F323,1))</f>
        <v>322T</v>
      </c>
      <c r="C323" s="86">
        <v>13</v>
      </c>
      <c r="D323" s="85" t="s">
        <v>461</v>
      </c>
      <c r="E323" s="90" t="s">
        <v>654</v>
      </c>
      <c r="F323" s="106" t="s">
        <v>0</v>
      </c>
      <c r="G323" s="49" t="s">
        <v>10</v>
      </c>
      <c r="H323" s="106" t="s">
        <v>663</v>
      </c>
      <c r="I323" s="85"/>
    </row>
    <row r="324" spans="1:9" x14ac:dyDescent="0.35">
      <c r="A324" s="79">
        <v>323</v>
      </c>
      <c r="B324" s="79" t="str">
        <f t="shared" si="5"/>
        <v>323T</v>
      </c>
      <c r="C324" s="86">
        <v>13</v>
      </c>
      <c r="D324" s="85" t="s">
        <v>461</v>
      </c>
      <c r="E324" s="90" t="s">
        <v>655</v>
      </c>
      <c r="F324" s="106" t="s">
        <v>0</v>
      </c>
      <c r="G324" s="49" t="s">
        <v>10</v>
      </c>
      <c r="H324" s="106" t="s">
        <v>663</v>
      </c>
      <c r="I324" s="85"/>
    </row>
    <row r="325" spans="1:9" x14ac:dyDescent="0.35">
      <c r="A325" s="79">
        <v>324</v>
      </c>
      <c r="B325" s="79" t="str">
        <f t="shared" si="5"/>
        <v>324T</v>
      </c>
      <c r="C325" s="86">
        <v>13</v>
      </c>
      <c r="D325" s="85" t="s">
        <v>461</v>
      </c>
      <c r="E325" s="90" t="s">
        <v>656</v>
      </c>
      <c r="F325" s="106" t="s">
        <v>0</v>
      </c>
      <c r="G325" s="49" t="s">
        <v>10</v>
      </c>
      <c r="H325" s="106" t="s">
        <v>663</v>
      </c>
      <c r="I325" s="85"/>
    </row>
    <row r="326" spans="1:9" x14ac:dyDescent="0.35">
      <c r="A326" s="79">
        <v>325</v>
      </c>
      <c r="B326" s="79" t="str">
        <f t="shared" si="5"/>
        <v>325T</v>
      </c>
      <c r="C326" s="86">
        <v>13</v>
      </c>
      <c r="D326" s="85" t="s">
        <v>461</v>
      </c>
      <c r="E326" s="90" t="s">
        <v>657</v>
      </c>
      <c r="F326" s="106" t="s">
        <v>0</v>
      </c>
      <c r="G326" s="49" t="s">
        <v>10</v>
      </c>
      <c r="H326" s="106" t="s">
        <v>663</v>
      </c>
      <c r="I326" s="85"/>
    </row>
    <row r="327" spans="1:9" x14ac:dyDescent="0.35">
      <c r="A327" s="79">
        <v>326</v>
      </c>
      <c r="B327" s="79" t="str">
        <f t="shared" si="5"/>
        <v>326T</v>
      </c>
      <c r="C327" s="86">
        <v>13</v>
      </c>
      <c r="D327" s="85" t="s">
        <v>461</v>
      </c>
      <c r="E327" s="90" t="s">
        <v>658</v>
      </c>
      <c r="F327" s="106" t="s">
        <v>0</v>
      </c>
      <c r="G327" s="49" t="s">
        <v>10</v>
      </c>
      <c r="H327" s="106" t="s">
        <v>663</v>
      </c>
      <c r="I327" s="85"/>
    </row>
    <row r="328" spans="1:9" x14ac:dyDescent="0.35">
      <c r="A328" s="79">
        <v>327</v>
      </c>
      <c r="B328" s="79" t="str">
        <f t="shared" si="5"/>
        <v>327T</v>
      </c>
      <c r="C328" s="86">
        <v>13</v>
      </c>
      <c r="D328" s="85" t="s">
        <v>461</v>
      </c>
      <c r="E328" s="90" t="s">
        <v>659</v>
      </c>
      <c r="F328" s="106" t="s">
        <v>0</v>
      </c>
      <c r="G328" s="49" t="s">
        <v>10</v>
      </c>
      <c r="H328" s="106" t="s">
        <v>663</v>
      </c>
      <c r="I328" s="85"/>
    </row>
    <row r="329" spans="1:9" x14ac:dyDescent="0.35">
      <c r="A329" s="79">
        <v>328</v>
      </c>
      <c r="B329" s="79" t="str">
        <f t="shared" si="5"/>
        <v>328T</v>
      </c>
      <c r="C329" s="86">
        <v>13</v>
      </c>
      <c r="D329" s="85" t="s">
        <v>461</v>
      </c>
      <c r="E329" s="90" t="s">
        <v>660</v>
      </c>
      <c r="F329" s="106" t="s">
        <v>0</v>
      </c>
      <c r="G329" s="49" t="s">
        <v>10</v>
      </c>
      <c r="H329" s="106" t="s">
        <v>663</v>
      </c>
      <c r="I329" s="85"/>
    </row>
    <row r="330" spans="1:9" x14ac:dyDescent="0.35">
      <c r="A330" s="79">
        <v>329</v>
      </c>
      <c r="B330" s="79" t="str">
        <f t="shared" si="5"/>
        <v>329T</v>
      </c>
      <c r="C330" s="86">
        <v>13</v>
      </c>
      <c r="D330" s="85" t="s">
        <v>461</v>
      </c>
      <c r="E330" s="90" t="s">
        <v>661</v>
      </c>
      <c r="F330" s="106" t="s">
        <v>0</v>
      </c>
      <c r="G330" s="49" t="s">
        <v>10</v>
      </c>
      <c r="H330" s="106" t="s">
        <v>663</v>
      </c>
      <c r="I330" s="85"/>
    </row>
    <row r="331" spans="1:9" x14ac:dyDescent="0.35">
      <c r="A331" s="79">
        <v>330</v>
      </c>
      <c r="B331" s="79" t="str">
        <f t="shared" si="5"/>
        <v>330T</v>
      </c>
      <c r="C331" s="86">
        <v>13</v>
      </c>
      <c r="D331" s="85" t="s">
        <v>461</v>
      </c>
      <c r="E331" s="90" t="s">
        <v>662</v>
      </c>
      <c r="F331" s="106" t="s">
        <v>0</v>
      </c>
      <c r="G331" s="49" t="s">
        <v>10</v>
      </c>
      <c r="H331" s="106" t="s">
        <v>663</v>
      </c>
      <c r="I331" s="85"/>
    </row>
    <row r="332" spans="1:9" s="118" customFormat="1" ht="18" x14ac:dyDescent="0.4">
      <c r="A332" s="79">
        <v>331</v>
      </c>
      <c r="B332" s="79" t="str">
        <f t="shared" si="5"/>
        <v>331T</v>
      </c>
      <c r="C332" s="92">
        <v>14</v>
      </c>
      <c r="D332" s="85" t="s">
        <v>461</v>
      </c>
      <c r="E332" s="78" t="s">
        <v>670</v>
      </c>
      <c r="F332" s="106" t="s">
        <v>0</v>
      </c>
      <c r="G332" s="49" t="s">
        <v>10</v>
      </c>
      <c r="H332" s="106" t="s">
        <v>663</v>
      </c>
      <c r="I332" s="103"/>
    </row>
    <row r="333" spans="1:9" x14ac:dyDescent="0.35">
      <c r="A333" s="79">
        <v>332</v>
      </c>
      <c r="B333" s="79" t="str">
        <f t="shared" si="5"/>
        <v>332T</v>
      </c>
      <c r="C333" s="86">
        <v>14</v>
      </c>
      <c r="D333" s="85" t="s">
        <v>461</v>
      </c>
      <c r="E333" s="16" t="s">
        <v>671</v>
      </c>
      <c r="F333" s="106" t="s">
        <v>0</v>
      </c>
      <c r="G333" s="49" t="s">
        <v>10</v>
      </c>
      <c r="H333" s="106" t="s">
        <v>663</v>
      </c>
      <c r="I333" s="49"/>
    </row>
    <row r="334" spans="1:9" x14ac:dyDescent="0.35">
      <c r="A334" s="79">
        <v>333</v>
      </c>
      <c r="B334" s="79" t="str">
        <f t="shared" si="5"/>
        <v>333T</v>
      </c>
      <c r="C334" s="86">
        <v>14</v>
      </c>
      <c r="D334" s="85" t="s">
        <v>461</v>
      </c>
      <c r="E334" s="16" t="s">
        <v>672</v>
      </c>
      <c r="F334" s="106" t="s">
        <v>0</v>
      </c>
      <c r="G334" s="49" t="s">
        <v>10</v>
      </c>
      <c r="H334" s="106" t="s">
        <v>663</v>
      </c>
      <c r="I334" s="49"/>
    </row>
    <row r="335" spans="1:9" x14ac:dyDescent="0.35">
      <c r="A335" s="79">
        <v>334</v>
      </c>
      <c r="B335" s="79" t="str">
        <f t="shared" si="5"/>
        <v>334T</v>
      </c>
      <c r="C335" s="86">
        <v>14</v>
      </c>
      <c r="D335" s="85" t="s">
        <v>461</v>
      </c>
      <c r="E335" s="16" t="s">
        <v>673</v>
      </c>
      <c r="F335" s="106" t="s">
        <v>0</v>
      </c>
      <c r="G335" s="49" t="s">
        <v>10</v>
      </c>
      <c r="H335" s="106" t="s">
        <v>663</v>
      </c>
      <c r="I335" s="49"/>
    </row>
    <row r="336" spans="1:9" x14ac:dyDescent="0.35">
      <c r="A336" s="79">
        <v>335</v>
      </c>
      <c r="B336" s="79" t="str">
        <f t="shared" si="5"/>
        <v>335T</v>
      </c>
      <c r="C336" s="86">
        <v>14</v>
      </c>
      <c r="D336" s="85" t="s">
        <v>461</v>
      </c>
      <c r="E336" s="16" t="s">
        <v>674</v>
      </c>
      <c r="F336" s="106" t="s">
        <v>0</v>
      </c>
      <c r="G336" s="49" t="s">
        <v>10</v>
      </c>
      <c r="H336" s="106" t="s">
        <v>663</v>
      </c>
      <c r="I336" s="49"/>
    </row>
    <row r="337" spans="1:9" ht="18" x14ac:dyDescent="0.4">
      <c r="A337" s="79">
        <v>336</v>
      </c>
      <c r="B337" s="79" t="str">
        <f t="shared" si="5"/>
        <v>336T</v>
      </c>
      <c r="C337" s="86">
        <v>14</v>
      </c>
      <c r="D337" s="85" t="s">
        <v>461</v>
      </c>
      <c r="E337" s="94" t="s">
        <v>675</v>
      </c>
      <c r="F337" s="106" t="s">
        <v>0</v>
      </c>
      <c r="G337" s="49" t="s">
        <v>10</v>
      </c>
      <c r="H337" s="106" t="s">
        <v>663</v>
      </c>
      <c r="I337" s="49"/>
    </row>
    <row r="338" spans="1:9" x14ac:dyDescent="0.35">
      <c r="A338" s="79">
        <v>337</v>
      </c>
      <c r="B338" s="79" t="str">
        <f t="shared" si="5"/>
        <v>337T</v>
      </c>
      <c r="C338" s="86">
        <v>14</v>
      </c>
      <c r="D338" s="85" t="s">
        <v>461</v>
      </c>
      <c r="E338" s="90" t="s">
        <v>676</v>
      </c>
      <c r="F338" s="106" t="s">
        <v>0</v>
      </c>
      <c r="G338" s="49" t="s">
        <v>10</v>
      </c>
      <c r="H338" s="106" t="s">
        <v>663</v>
      </c>
      <c r="I338" s="49"/>
    </row>
    <row r="339" spans="1:9" x14ac:dyDescent="0.35">
      <c r="A339" s="79">
        <v>338</v>
      </c>
      <c r="B339" s="79" t="str">
        <f t="shared" si="5"/>
        <v>338T</v>
      </c>
      <c r="C339" s="86">
        <v>14</v>
      </c>
      <c r="D339" s="85" t="s">
        <v>461</v>
      </c>
      <c r="E339" s="90" t="s">
        <v>677</v>
      </c>
      <c r="F339" s="106" t="s">
        <v>0</v>
      </c>
      <c r="G339" s="49" t="s">
        <v>10</v>
      </c>
      <c r="H339" s="106" t="s">
        <v>663</v>
      </c>
      <c r="I339" s="49"/>
    </row>
    <row r="340" spans="1:9" x14ac:dyDescent="0.35">
      <c r="A340" s="79">
        <v>339</v>
      </c>
      <c r="B340" s="79" t="str">
        <f t="shared" si="5"/>
        <v>339T</v>
      </c>
      <c r="C340" s="86">
        <v>14</v>
      </c>
      <c r="D340" s="85" t="s">
        <v>461</v>
      </c>
      <c r="E340" s="90" t="s">
        <v>678</v>
      </c>
      <c r="F340" s="106" t="s">
        <v>0</v>
      </c>
      <c r="G340" s="49" t="s">
        <v>10</v>
      </c>
      <c r="H340" s="106" t="s">
        <v>663</v>
      </c>
      <c r="I340" s="49"/>
    </row>
    <row r="341" spans="1:9" x14ac:dyDescent="0.35">
      <c r="A341" s="79">
        <v>340</v>
      </c>
      <c r="B341" s="79" t="str">
        <f t="shared" si="5"/>
        <v>340T</v>
      </c>
      <c r="C341" s="86">
        <v>14</v>
      </c>
      <c r="D341" s="85" t="s">
        <v>461</v>
      </c>
      <c r="E341" s="90" t="s">
        <v>679</v>
      </c>
      <c r="F341" s="106" t="s">
        <v>0</v>
      </c>
      <c r="G341" s="49" t="s">
        <v>10</v>
      </c>
      <c r="H341" s="106" t="s">
        <v>663</v>
      </c>
      <c r="I341" s="49"/>
    </row>
    <row r="342" spans="1:9" s="118" customFormat="1" ht="18" x14ac:dyDescent="0.4">
      <c r="A342" s="79">
        <v>341</v>
      </c>
      <c r="B342" s="79" t="str">
        <f t="shared" si="5"/>
        <v>341T</v>
      </c>
      <c r="C342" s="92">
        <v>15</v>
      </c>
      <c r="D342" s="85" t="s">
        <v>461</v>
      </c>
      <c r="E342" s="78" t="s">
        <v>683</v>
      </c>
      <c r="F342" s="106" t="s">
        <v>0</v>
      </c>
      <c r="G342" s="49" t="s">
        <v>10</v>
      </c>
      <c r="H342" s="106" t="s">
        <v>663</v>
      </c>
      <c r="I342" s="88"/>
    </row>
    <row r="343" spans="1:9" x14ac:dyDescent="0.35">
      <c r="A343" s="79">
        <v>342</v>
      </c>
      <c r="B343" s="79" t="str">
        <f t="shared" si="5"/>
        <v>342T</v>
      </c>
      <c r="C343" s="86">
        <v>15</v>
      </c>
      <c r="D343" s="85" t="s">
        <v>461</v>
      </c>
      <c r="E343" s="16" t="s">
        <v>684</v>
      </c>
      <c r="F343" s="106" t="s">
        <v>0</v>
      </c>
      <c r="G343" s="49" t="s">
        <v>10</v>
      </c>
      <c r="H343" s="106" t="s">
        <v>663</v>
      </c>
      <c r="I343" s="85"/>
    </row>
    <row r="344" spans="1:9" x14ac:dyDescent="0.35">
      <c r="A344" s="79">
        <v>343</v>
      </c>
      <c r="B344" s="79" t="str">
        <f t="shared" si="5"/>
        <v>343T</v>
      </c>
      <c r="C344" s="86">
        <v>15</v>
      </c>
      <c r="D344" s="85" t="s">
        <v>461</v>
      </c>
      <c r="E344" s="16" t="s">
        <v>685</v>
      </c>
      <c r="F344" s="106" t="s">
        <v>0</v>
      </c>
      <c r="G344" s="49" t="s">
        <v>10</v>
      </c>
      <c r="H344" s="106" t="s">
        <v>663</v>
      </c>
      <c r="I344" s="85"/>
    </row>
    <row r="345" spans="1:9" x14ac:dyDescent="0.35">
      <c r="A345" s="79">
        <v>344</v>
      </c>
      <c r="B345" s="79" t="str">
        <f t="shared" si="5"/>
        <v>344T</v>
      </c>
      <c r="C345" s="86">
        <v>15</v>
      </c>
      <c r="D345" s="85" t="s">
        <v>461</v>
      </c>
      <c r="E345" s="16" t="s">
        <v>686</v>
      </c>
      <c r="F345" s="106" t="s">
        <v>0</v>
      </c>
      <c r="G345" s="49" t="s">
        <v>10</v>
      </c>
      <c r="H345" s="106" t="s">
        <v>663</v>
      </c>
      <c r="I345" s="85"/>
    </row>
    <row r="346" spans="1:9" x14ac:dyDescent="0.35">
      <c r="A346" s="79">
        <v>345</v>
      </c>
      <c r="B346" s="79" t="str">
        <f t="shared" si="5"/>
        <v>345T</v>
      </c>
      <c r="C346" s="86">
        <v>15</v>
      </c>
      <c r="D346" s="85" t="s">
        <v>461</v>
      </c>
      <c r="E346" s="16" t="s">
        <v>687</v>
      </c>
      <c r="F346" s="106" t="s">
        <v>0</v>
      </c>
      <c r="G346" s="49" t="s">
        <v>10</v>
      </c>
      <c r="H346" s="106" t="s">
        <v>663</v>
      </c>
      <c r="I346" s="85"/>
    </row>
    <row r="347" spans="1:9" x14ac:dyDescent="0.35">
      <c r="A347" s="79">
        <v>346</v>
      </c>
      <c r="B347" s="79" t="str">
        <f t="shared" si="5"/>
        <v>346T</v>
      </c>
      <c r="C347" s="86">
        <v>15</v>
      </c>
      <c r="D347" s="85" t="s">
        <v>461</v>
      </c>
      <c r="E347" s="16" t="s">
        <v>688</v>
      </c>
      <c r="F347" s="106" t="s">
        <v>0</v>
      </c>
      <c r="G347" s="49" t="s">
        <v>10</v>
      </c>
      <c r="H347" s="106" t="s">
        <v>663</v>
      </c>
      <c r="I347" s="85"/>
    </row>
    <row r="348" spans="1:9" x14ac:dyDescent="0.35">
      <c r="A348" s="79">
        <v>347</v>
      </c>
      <c r="B348" s="79" t="str">
        <f t="shared" si="5"/>
        <v>347T</v>
      </c>
      <c r="C348" s="86">
        <v>15</v>
      </c>
      <c r="D348" s="85" t="s">
        <v>461</v>
      </c>
      <c r="E348" s="16" t="s">
        <v>689</v>
      </c>
      <c r="F348" s="106" t="s">
        <v>0</v>
      </c>
      <c r="G348" s="49" t="s">
        <v>10</v>
      </c>
      <c r="H348" s="106" t="s">
        <v>663</v>
      </c>
      <c r="I348" s="85"/>
    </row>
    <row r="349" spans="1:9" x14ac:dyDescent="0.35">
      <c r="A349" s="79">
        <v>348</v>
      </c>
      <c r="B349" s="79" t="str">
        <f t="shared" si="5"/>
        <v>348T</v>
      </c>
      <c r="C349" s="86">
        <v>15</v>
      </c>
      <c r="D349" s="85" t="s">
        <v>461</v>
      </c>
      <c r="E349" s="16" t="s">
        <v>690</v>
      </c>
      <c r="F349" s="106" t="s">
        <v>0</v>
      </c>
      <c r="G349" s="49" t="s">
        <v>10</v>
      </c>
      <c r="H349" s="106" t="s">
        <v>663</v>
      </c>
      <c r="I349" s="85"/>
    </row>
    <row r="350" spans="1:9" s="118" customFormat="1" ht="18" x14ac:dyDescent="0.4">
      <c r="A350" s="79">
        <v>349</v>
      </c>
      <c r="B350" s="79" t="str">
        <f t="shared" si="5"/>
        <v>349T</v>
      </c>
      <c r="C350" s="92">
        <v>15</v>
      </c>
      <c r="D350" s="85" t="s">
        <v>461</v>
      </c>
      <c r="E350" s="78" t="s">
        <v>691</v>
      </c>
      <c r="F350" s="106" t="s">
        <v>0</v>
      </c>
      <c r="G350" s="49" t="s">
        <v>10</v>
      </c>
      <c r="H350" s="106" t="s">
        <v>699</v>
      </c>
      <c r="I350" s="88"/>
    </row>
    <row r="351" spans="1:9" x14ac:dyDescent="0.35">
      <c r="A351" s="79">
        <v>350</v>
      </c>
      <c r="B351" s="79" t="str">
        <f t="shared" si="5"/>
        <v>350T</v>
      </c>
      <c r="C351" s="86">
        <v>15</v>
      </c>
      <c r="D351" s="85" t="s">
        <v>461</v>
      </c>
      <c r="E351" s="16" t="s">
        <v>692</v>
      </c>
      <c r="F351" s="106" t="s">
        <v>0</v>
      </c>
      <c r="G351" s="49" t="s">
        <v>10</v>
      </c>
      <c r="H351" s="106" t="s">
        <v>699</v>
      </c>
      <c r="I351" s="85"/>
    </row>
    <row r="352" spans="1:9" x14ac:dyDescent="0.35">
      <c r="A352" s="79">
        <v>351</v>
      </c>
      <c r="B352" s="79" t="str">
        <f t="shared" si="5"/>
        <v>351T</v>
      </c>
      <c r="C352" s="86">
        <v>15</v>
      </c>
      <c r="D352" s="85" t="s">
        <v>461</v>
      </c>
      <c r="E352" s="16" t="s">
        <v>693</v>
      </c>
      <c r="F352" s="106" t="s">
        <v>0</v>
      </c>
      <c r="G352" s="49" t="s">
        <v>10</v>
      </c>
      <c r="H352" s="106" t="s">
        <v>699</v>
      </c>
      <c r="I352" s="85"/>
    </row>
    <row r="353" spans="1:9" x14ac:dyDescent="0.35">
      <c r="A353" s="79">
        <v>352</v>
      </c>
      <c r="B353" s="79" t="str">
        <f t="shared" si="5"/>
        <v>352T</v>
      </c>
      <c r="C353" s="86">
        <v>15</v>
      </c>
      <c r="D353" s="85" t="s">
        <v>461</v>
      </c>
      <c r="E353" s="16" t="s">
        <v>694</v>
      </c>
      <c r="F353" s="106" t="s">
        <v>0</v>
      </c>
      <c r="G353" s="49" t="s">
        <v>10</v>
      </c>
      <c r="H353" s="106" t="s">
        <v>699</v>
      </c>
      <c r="I353" s="85"/>
    </row>
    <row r="354" spans="1:9" x14ac:dyDescent="0.35">
      <c r="A354" s="79">
        <v>353</v>
      </c>
      <c r="B354" s="79" t="str">
        <f t="shared" si="5"/>
        <v>353T</v>
      </c>
      <c r="C354" s="86">
        <v>15</v>
      </c>
      <c r="D354" s="85" t="s">
        <v>461</v>
      </c>
      <c r="E354" s="16" t="s">
        <v>695</v>
      </c>
      <c r="F354" s="106" t="s">
        <v>0</v>
      </c>
      <c r="G354" s="49" t="s">
        <v>10</v>
      </c>
      <c r="H354" s="106" t="s">
        <v>699</v>
      </c>
      <c r="I354" s="85"/>
    </row>
    <row r="355" spans="1:9" x14ac:dyDescent="0.35">
      <c r="A355" s="79">
        <v>354</v>
      </c>
      <c r="B355" s="79" t="str">
        <f t="shared" si="5"/>
        <v>354T</v>
      </c>
      <c r="C355" s="86">
        <v>15</v>
      </c>
      <c r="D355" s="85" t="s">
        <v>461</v>
      </c>
      <c r="E355" s="16" t="s">
        <v>696</v>
      </c>
      <c r="F355" s="106" t="s">
        <v>0</v>
      </c>
      <c r="G355" s="49" t="s">
        <v>10</v>
      </c>
      <c r="H355" s="106" t="s">
        <v>699</v>
      </c>
      <c r="I355" s="85"/>
    </row>
    <row r="356" spans="1:9" x14ac:dyDescent="0.35">
      <c r="A356" s="79">
        <v>355</v>
      </c>
      <c r="B356" s="79" t="str">
        <f t="shared" si="5"/>
        <v>355T</v>
      </c>
      <c r="C356" s="86">
        <v>15</v>
      </c>
      <c r="D356" s="85" t="s">
        <v>461</v>
      </c>
      <c r="E356" s="16" t="s">
        <v>697</v>
      </c>
      <c r="F356" s="106" t="s">
        <v>0</v>
      </c>
      <c r="G356" s="49" t="s">
        <v>10</v>
      </c>
      <c r="H356" s="106" t="s">
        <v>699</v>
      </c>
      <c r="I356" s="85"/>
    </row>
    <row r="357" spans="1:9" x14ac:dyDescent="0.35">
      <c r="A357" s="79">
        <v>356</v>
      </c>
      <c r="B357" s="79" t="str">
        <f t="shared" si="5"/>
        <v>356T</v>
      </c>
      <c r="C357" s="86">
        <v>15</v>
      </c>
      <c r="D357" s="85" t="s">
        <v>461</v>
      </c>
      <c r="E357" s="16" t="s">
        <v>698</v>
      </c>
      <c r="F357" s="106" t="s">
        <v>0</v>
      </c>
      <c r="G357" s="49" t="s">
        <v>10</v>
      </c>
      <c r="H357" s="106" t="s">
        <v>699</v>
      </c>
      <c r="I357" s="85"/>
    </row>
    <row r="358" spans="1:9" s="118" customFormat="1" ht="18" x14ac:dyDescent="0.4">
      <c r="A358" s="79">
        <v>357</v>
      </c>
      <c r="B358" s="79" t="str">
        <f t="shared" si="5"/>
        <v>357T</v>
      </c>
      <c r="C358" s="92">
        <v>16</v>
      </c>
      <c r="D358" s="85" t="s">
        <v>461</v>
      </c>
      <c r="E358" s="78" t="s">
        <v>700</v>
      </c>
      <c r="F358" s="105" t="s">
        <v>0</v>
      </c>
      <c r="G358" s="103" t="s">
        <v>10</v>
      </c>
      <c r="H358" s="105" t="s">
        <v>710</v>
      </c>
      <c r="I358" s="88"/>
    </row>
    <row r="359" spans="1:9" x14ac:dyDescent="0.35">
      <c r="A359" s="79">
        <v>358</v>
      </c>
      <c r="B359" s="79" t="str">
        <f t="shared" si="5"/>
        <v>358T</v>
      </c>
      <c r="C359" s="86">
        <v>16</v>
      </c>
      <c r="D359" s="85" t="s">
        <v>461</v>
      </c>
      <c r="E359" s="16" t="s">
        <v>701</v>
      </c>
      <c r="F359" s="106" t="s">
        <v>0</v>
      </c>
      <c r="G359" s="49" t="s">
        <v>10</v>
      </c>
      <c r="H359" s="106" t="s">
        <v>710</v>
      </c>
      <c r="I359" s="85"/>
    </row>
    <row r="360" spans="1:9" x14ac:dyDescent="0.35">
      <c r="A360" s="79">
        <v>359</v>
      </c>
      <c r="B360" s="79" t="str">
        <f t="shared" si="5"/>
        <v>359T</v>
      </c>
      <c r="C360" s="86">
        <v>16</v>
      </c>
      <c r="D360" s="85" t="s">
        <v>461</v>
      </c>
      <c r="E360" s="16" t="s">
        <v>702</v>
      </c>
      <c r="F360" s="106" t="s">
        <v>0</v>
      </c>
      <c r="G360" s="49" t="s">
        <v>10</v>
      </c>
      <c r="H360" s="106" t="s">
        <v>710</v>
      </c>
      <c r="I360" s="85"/>
    </row>
    <row r="361" spans="1:9" x14ac:dyDescent="0.35">
      <c r="A361" s="79">
        <v>360</v>
      </c>
      <c r="B361" s="79" t="str">
        <f t="shared" si="5"/>
        <v>360T</v>
      </c>
      <c r="C361" s="86">
        <v>16</v>
      </c>
      <c r="D361" s="85" t="s">
        <v>461</v>
      </c>
      <c r="E361" s="16" t="s">
        <v>703</v>
      </c>
      <c r="F361" s="106" t="s">
        <v>0</v>
      </c>
      <c r="G361" s="49" t="s">
        <v>10</v>
      </c>
      <c r="H361" s="106" t="s">
        <v>710</v>
      </c>
      <c r="I361" s="85"/>
    </row>
    <row r="362" spans="1:9" x14ac:dyDescent="0.35">
      <c r="A362" s="79">
        <v>361</v>
      </c>
      <c r="B362" s="79" t="str">
        <f t="shared" si="5"/>
        <v>361T</v>
      </c>
      <c r="C362" s="86">
        <v>16</v>
      </c>
      <c r="D362" s="85" t="s">
        <v>461</v>
      </c>
      <c r="E362" s="16" t="s">
        <v>704</v>
      </c>
      <c r="F362" s="106" t="s">
        <v>0</v>
      </c>
      <c r="G362" s="49" t="s">
        <v>10</v>
      </c>
      <c r="H362" s="106" t="s">
        <v>710</v>
      </c>
      <c r="I362" s="85"/>
    </row>
    <row r="363" spans="1:9" s="118" customFormat="1" ht="18" x14ac:dyDescent="0.4">
      <c r="A363" s="79">
        <v>362</v>
      </c>
      <c r="B363" s="79" t="str">
        <f t="shared" si="5"/>
        <v>362T</v>
      </c>
      <c r="C363" s="92">
        <v>16</v>
      </c>
      <c r="D363" s="85" t="s">
        <v>461</v>
      </c>
      <c r="E363" s="78" t="s">
        <v>705</v>
      </c>
      <c r="F363" s="105" t="s">
        <v>0</v>
      </c>
      <c r="G363" s="103" t="s">
        <v>10</v>
      </c>
      <c r="H363" s="105" t="s">
        <v>711</v>
      </c>
      <c r="I363" s="88"/>
    </row>
    <row r="364" spans="1:9" x14ac:dyDescent="0.35">
      <c r="A364" s="79">
        <v>363</v>
      </c>
      <c r="B364" s="79" t="str">
        <f t="shared" si="5"/>
        <v>363T</v>
      </c>
      <c r="C364" s="86">
        <v>16</v>
      </c>
      <c r="D364" s="85" t="s">
        <v>461</v>
      </c>
      <c r="E364" s="16" t="s">
        <v>706</v>
      </c>
      <c r="F364" s="106" t="s">
        <v>0</v>
      </c>
      <c r="G364" s="49" t="s">
        <v>10</v>
      </c>
      <c r="H364" s="106" t="s">
        <v>711</v>
      </c>
      <c r="I364" s="85"/>
    </row>
    <row r="365" spans="1:9" x14ac:dyDescent="0.35">
      <c r="A365" s="79">
        <v>364</v>
      </c>
      <c r="B365" s="79" t="str">
        <f t="shared" si="5"/>
        <v>364T</v>
      </c>
      <c r="C365" s="86">
        <v>16</v>
      </c>
      <c r="D365" s="85" t="s">
        <v>461</v>
      </c>
      <c r="E365" s="16" t="s">
        <v>707</v>
      </c>
      <c r="F365" s="106" t="s">
        <v>0</v>
      </c>
      <c r="G365" s="49" t="s">
        <v>10</v>
      </c>
      <c r="H365" s="106" t="s">
        <v>711</v>
      </c>
      <c r="I365" s="85"/>
    </row>
    <row r="366" spans="1:9" x14ac:dyDescent="0.35">
      <c r="A366" s="79">
        <v>365</v>
      </c>
      <c r="B366" s="79" t="str">
        <f t="shared" si="5"/>
        <v>365T</v>
      </c>
      <c r="C366" s="86">
        <v>16</v>
      </c>
      <c r="D366" s="85" t="s">
        <v>461</v>
      </c>
      <c r="E366" s="16" t="s">
        <v>708</v>
      </c>
      <c r="F366" s="106" t="s">
        <v>0</v>
      </c>
      <c r="G366" s="49" t="s">
        <v>10</v>
      </c>
      <c r="H366" s="106" t="s">
        <v>711</v>
      </c>
      <c r="I366" s="85"/>
    </row>
    <row r="367" spans="1:9" x14ac:dyDescent="0.35">
      <c r="A367" s="79">
        <v>366</v>
      </c>
      <c r="B367" s="79" t="str">
        <f t="shared" si="5"/>
        <v>366T</v>
      </c>
      <c r="C367" s="86">
        <v>16</v>
      </c>
      <c r="D367" s="85" t="s">
        <v>461</v>
      </c>
      <c r="E367" s="16" t="s">
        <v>709</v>
      </c>
      <c r="F367" s="106" t="s">
        <v>0</v>
      </c>
      <c r="G367" s="49" t="s">
        <v>10</v>
      </c>
      <c r="H367" s="106" t="s">
        <v>711</v>
      </c>
      <c r="I367" s="85"/>
    </row>
    <row r="368" spans="1:9" x14ac:dyDescent="0.35">
      <c r="A368" s="79">
        <v>367</v>
      </c>
      <c r="B368" s="79" t="str">
        <f t="shared" si="5"/>
        <v>367T</v>
      </c>
      <c r="C368" s="86">
        <v>16</v>
      </c>
      <c r="D368" s="85" t="s">
        <v>461</v>
      </c>
      <c r="E368" s="16" t="s">
        <v>712</v>
      </c>
      <c r="F368" s="106" t="s">
        <v>0</v>
      </c>
      <c r="G368" s="49" t="s">
        <v>10</v>
      </c>
      <c r="H368" s="106" t="s">
        <v>711</v>
      </c>
      <c r="I368" s="85"/>
    </row>
    <row r="369" spans="1:9" x14ac:dyDescent="0.35">
      <c r="A369" s="79">
        <v>368</v>
      </c>
      <c r="B369" s="79" t="str">
        <f t="shared" si="5"/>
        <v>368T</v>
      </c>
      <c r="C369" s="86">
        <v>16</v>
      </c>
      <c r="D369" s="85" t="s">
        <v>461</v>
      </c>
      <c r="E369" s="16" t="s">
        <v>713</v>
      </c>
      <c r="F369" s="106" t="s">
        <v>0</v>
      </c>
      <c r="G369" s="49" t="s">
        <v>10</v>
      </c>
      <c r="H369" s="106" t="s">
        <v>711</v>
      </c>
      <c r="I369" s="85"/>
    </row>
    <row r="370" spans="1:9" x14ac:dyDescent="0.35">
      <c r="A370" s="79">
        <v>369</v>
      </c>
      <c r="B370" s="79" t="str">
        <f t="shared" si="5"/>
        <v>369T</v>
      </c>
      <c r="C370" s="86">
        <v>16</v>
      </c>
      <c r="D370" s="85" t="s">
        <v>461</v>
      </c>
      <c r="E370" s="16" t="s">
        <v>714</v>
      </c>
      <c r="F370" s="106" t="s">
        <v>0</v>
      </c>
      <c r="G370" s="49" t="s">
        <v>10</v>
      </c>
      <c r="H370" s="106" t="s">
        <v>711</v>
      </c>
      <c r="I370" s="85"/>
    </row>
    <row r="371" spans="1:9" x14ac:dyDescent="0.35">
      <c r="A371" s="79">
        <v>370</v>
      </c>
      <c r="B371" s="79" t="str">
        <f t="shared" si="5"/>
        <v>370T</v>
      </c>
      <c r="C371" s="86">
        <v>16</v>
      </c>
      <c r="D371" s="85" t="s">
        <v>461</v>
      </c>
      <c r="E371" s="16" t="s">
        <v>715</v>
      </c>
      <c r="F371" s="106" t="s">
        <v>0</v>
      </c>
      <c r="G371" s="49" t="s">
        <v>10</v>
      </c>
      <c r="H371" s="106" t="s">
        <v>711</v>
      </c>
      <c r="I371" s="85"/>
    </row>
    <row r="372" spans="1:9" x14ac:dyDescent="0.35">
      <c r="A372" s="79">
        <v>371</v>
      </c>
      <c r="B372" s="79" t="str">
        <f t="shared" si="5"/>
        <v>371T</v>
      </c>
      <c r="C372" s="86">
        <v>16</v>
      </c>
      <c r="D372" s="85" t="s">
        <v>461</v>
      </c>
      <c r="E372" s="16" t="s">
        <v>716</v>
      </c>
      <c r="F372" s="106" t="s">
        <v>0</v>
      </c>
      <c r="G372" s="49" t="s">
        <v>10</v>
      </c>
      <c r="H372" s="106" t="s">
        <v>711</v>
      </c>
      <c r="I372" s="85"/>
    </row>
    <row r="373" spans="1:9" x14ac:dyDescent="0.35">
      <c r="A373" s="79">
        <v>372</v>
      </c>
      <c r="B373" s="79" t="str">
        <f t="shared" si="5"/>
        <v>372T</v>
      </c>
      <c r="C373" s="86">
        <v>16</v>
      </c>
      <c r="D373" s="85" t="s">
        <v>461</v>
      </c>
      <c r="E373" s="16" t="s">
        <v>717</v>
      </c>
      <c r="F373" s="106" t="s">
        <v>0</v>
      </c>
      <c r="G373" s="49" t="s">
        <v>10</v>
      </c>
      <c r="H373" s="106" t="s">
        <v>711</v>
      </c>
      <c r="I373" s="85"/>
    </row>
    <row r="374" spans="1:9" x14ac:dyDescent="0.35">
      <c r="A374" s="79">
        <v>373</v>
      </c>
      <c r="B374" s="79" t="str">
        <f t="shared" si="5"/>
        <v>373T</v>
      </c>
      <c r="C374" s="86">
        <v>16</v>
      </c>
      <c r="D374" s="85" t="s">
        <v>461</v>
      </c>
      <c r="E374" s="16" t="s">
        <v>718</v>
      </c>
      <c r="F374" s="106" t="s">
        <v>0</v>
      </c>
      <c r="G374" s="49" t="s">
        <v>10</v>
      </c>
      <c r="H374" s="106" t="s">
        <v>711</v>
      </c>
      <c r="I374" s="85"/>
    </row>
    <row r="375" spans="1:9" x14ac:dyDescent="0.35">
      <c r="A375" s="79">
        <v>374</v>
      </c>
      <c r="B375" s="79" t="str">
        <f t="shared" si="5"/>
        <v>374T</v>
      </c>
      <c r="C375" s="86">
        <v>16</v>
      </c>
      <c r="D375" s="85" t="s">
        <v>461</v>
      </c>
      <c r="E375" s="16" t="s">
        <v>719</v>
      </c>
      <c r="F375" s="106" t="s">
        <v>0</v>
      </c>
      <c r="G375" s="49" t="s">
        <v>10</v>
      </c>
      <c r="H375" s="106" t="s">
        <v>711</v>
      </c>
      <c r="I375" s="85"/>
    </row>
    <row r="376" spans="1:9" x14ac:dyDescent="0.35">
      <c r="A376" s="79">
        <v>375</v>
      </c>
      <c r="B376" s="79" t="str">
        <f t="shared" si="5"/>
        <v>375T</v>
      </c>
      <c r="C376" s="86">
        <v>16</v>
      </c>
      <c r="D376" s="85" t="s">
        <v>461</v>
      </c>
      <c r="E376" s="16" t="s">
        <v>720</v>
      </c>
      <c r="F376" s="106" t="s">
        <v>0</v>
      </c>
      <c r="G376" s="49" t="s">
        <v>10</v>
      </c>
      <c r="H376" s="106" t="s">
        <v>711</v>
      </c>
      <c r="I376" s="85"/>
    </row>
    <row r="377" spans="1:9" x14ac:dyDescent="0.35">
      <c r="A377" s="79">
        <v>376</v>
      </c>
      <c r="B377" s="79" t="str">
        <f t="shared" si="5"/>
        <v>376T</v>
      </c>
      <c r="C377" s="86">
        <v>16</v>
      </c>
      <c r="D377" s="85" t="s">
        <v>461</v>
      </c>
      <c r="E377" s="16" t="s">
        <v>721</v>
      </c>
      <c r="F377" s="106" t="s">
        <v>0</v>
      </c>
      <c r="G377" s="49" t="s">
        <v>10</v>
      </c>
      <c r="H377" s="106" t="s">
        <v>711</v>
      </c>
      <c r="I377" s="85"/>
    </row>
    <row r="378" spans="1:9" s="115" customFormat="1" ht="18" x14ac:dyDescent="0.4">
      <c r="A378" s="79">
        <v>377</v>
      </c>
      <c r="B378" s="79" t="str">
        <f t="shared" ref="B378:B425" si="6">CONCATENATE(A378,LEFT(F378,1))</f>
        <v>377F</v>
      </c>
      <c r="C378" s="92">
        <v>1</v>
      </c>
      <c r="D378" s="97" t="s">
        <v>343</v>
      </c>
      <c r="E378" s="94" t="s">
        <v>21</v>
      </c>
      <c r="F378" s="94" t="s">
        <v>1</v>
      </c>
      <c r="G378" s="92" t="s">
        <v>10</v>
      </c>
      <c r="H378" s="115" t="s">
        <v>343</v>
      </c>
      <c r="I378" s="88"/>
    </row>
    <row r="379" spans="1:9" s="113" customFormat="1" x14ac:dyDescent="0.35">
      <c r="A379" s="79">
        <v>378</v>
      </c>
      <c r="B379" s="79" t="str">
        <f t="shared" si="6"/>
        <v>378F</v>
      </c>
      <c r="C379" s="86">
        <v>1</v>
      </c>
      <c r="D379" s="97" t="s">
        <v>344</v>
      </c>
      <c r="E379" s="90" t="s">
        <v>22</v>
      </c>
      <c r="F379" s="90" t="s">
        <v>1</v>
      </c>
      <c r="G379" s="86" t="s">
        <v>10</v>
      </c>
      <c r="H379" s="113" t="s">
        <v>343</v>
      </c>
      <c r="I379" s="85"/>
    </row>
    <row r="380" spans="1:9" s="113" customFormat="1" x14ac:dyDescent="0.35">
      <c r="A380" s="79">
        <v>379</v>
      </c>
      <c r="B380" s="79" t="str">
        <f t="shared" si="6"/>
        <v>379F</v>
      </c>
      <c r="C380" s="86">
        <v>1</v>
      </c>
      <c r="D380" s="97" t="s">
        <v>345</v>
      </c>
      <c r="E380" s="90" t="s">
        <v>23</v>
      </c>
      <c r="F380" s="90" t="s">
        <v>1</v>
      </c>
      <c r="G380" s="86" t="s">
        <v>10</v>
      </c>
      <c r="H380" s="113" t="s">
        <v>343</v>
      </c>
      <c r="I380" s="85"/>
    </row>
    <row r="381" spans="1:9" s="113" customFormat="1" x14ac:dyDescent="0.35">
      <c r="A381" s="79">
        <v>380</v>
      </c>
      <c r="B381" s="79" t="str">
        <f t="shared" si="6"/>
        <v>380F</v>
      </c>
      <c r="C381" s="86">
        <v>2</v>
      </c>
      <c r="D381" s="97" t="s">
        <v>346</v>
      </c>
      <c r="E381" s="90" t="s">
        <v>65</v>
      </c>
      <c r="F381" s="90" t="s">
        <v>1</v>
      </c>
      <c r="G381" s="86" t="s">
        <v>10</v>
      </c>
      <c r="H381" s="113" t="s">
        <v>343</v>
      </c>
      <c r="I381" s="85"/>
    </row>
    <row r="382" spans="1:9" s="113" customFormat="1" x14ac:dyDescent="0.35">
      <c r="A382" s="79">
        <v>381</v>
      </c>
      <c r="B382" s="79" t="str">
        <f t="shared" si="6"/>
        <v>381F</v>
      </c>
      <c r="C382" s="86">
        <v>2</v>
      </c>
      <c r="D382" s="97" t="s">
        <v>347</v>
      </c>
      <c r="E382" s="90" t="s">
        <v>66</v>
      </c>
      <c r="F382" s="90" t="s">
        <v>1</v>
      </c>
      <c r="G382" s="86" t="s">
        <v>10</v>
      </c>
      <c r="H382" s="113" t="s">
        <v>343</v>
      </c>
      <c r="I382" s="85"/>
    </row>
    <row r="383" spans="1:9" s="113" customFormat="1" x14ac:dyDescent="0.35">
      <c r="A383" s="79">
        <v>382</v>
      </c>
      <c r="B383" s="79" t="str">
        <f t="shared" si="6"/>
        <v>382F</v>
      </c>
      <c r="C383" s="86">
        <v>2</v>
      </c>
      <c r="D383" s="97" t="s">
        <v>348</v>
      </c>
      <c r="E383" s="90" t="s">
        <v>67</v>
      </c>
      <c r="F383" s="90" t="s">
        <v>1</v>
      </c>
      <c r="G383" s="86" t="s">
        <v>10</v>
      </c>
      <c r="H383" s="113" t="s">
        <v>343</v>
      </c>
      <c r="I383" s="81"/>
    </row>
    <row r="384" spans="1:9" s="118" customFormat="1" ht="18" x14ac:dyDescent="0.4">
      <c r="A384" s="79">
        <v>383</v>
      </c>
      <c r="B384" s="79" t="str">
        <f t="shared" si="6"/>
        <v>383F</v>
      </c>
      <c r="C384" s="92">
        <v>3</v>
      </c>
      <c r="D384" s="94" t="s">
        <v>426</v>
      </c>
      <c r="E384" s="78" t="s">
        <v>446</v>
      </c>
      <c r="F384" s="94" t="s">
        <v>1</v>
      </c>
      <c r="G384" s="92" t="s">
        <v>10</v>
      </c>
      <c r="H384" s="118" t="s">
        <v>426</v>
      </c>
      <c r="I384" s="89"/>
    </row>
    <row r="385" spans="1:9" x14ac:dyDescent="0.35">
      <c r="A385" s="79">
        <v>384</v>
      </c>
      <c r="B385" s="79" t="str">
        <f t="shared" si="6"/>
        <v>384F</v>
      </c>
      <c r="C385" s="86">
        <v>4</v>
      </c>
      <c r="D385" s="90" t="s">
        <v>427</v>
      </c>
      <c r="E385" s="16" t="s">
        <v>447</v>
      </c>
      <c r="F385" s="90" t="s">
        <v>1</v>
      </c>
      <c r="G385" s="86" t="s">
        <v>10</v>
      </c>
      <c r="H385" s="114" t="s">
        <v>427</v>
      </c>
      <c r="I385" s="81"/>
    </row>
    <row r="386" spans="1:9" s="116" customFormat="1" ht="18" x14ac:dyDescent="0.4">
      <c r="A386" s="79">
        <v>385</v>
      </c>
      <c r="B386" s="79" t="str">
        <f t="shared" si="6"/>
        <v>385F</v>
      </c>
      <c r="C386" s="92">
        <v>5</v>
      </c>
      <c r="D386" s="95" t="s">
        <v>468</v>
      </c>
      <c r="E386" s="95" t="s">
        <v>456</v>
      </c>
      <c r="F386" s="94" t="s">
        <v>1</v>
      </c>
      <c r="G386" s="92" t="s">
        <v>10</v>
      </c>
      <c r="H386" s="116" t="s">
        <v>468</v>
      </c>
      <c r="I386" s="95"/>
    </row>
    <row r="387" spans="1:9" s="116" customFormat="1" ht="18" x14ac:dyDescent="0.4">
      <c r="A387" s="79">
        <v>386</v>
      </c>
      <c r="B387" s="79" t="str">
        <f t="shared" si="6"/>
        <v>386F</v>
      </c>
      <c r="C387" s="86">
        <v>6</v>
      </c>
      <c r="D387" s="84" t="s">
        <v>485</v>
      </c>
      <c r="E387" s="84" t="s">
        <v>484</v>
      </c>
      <c r="F387" s="90" t="s">
        <v>1</v>
      </c>
      <c r="G387" s="86" t="s">
        <v>10</v>
      </c>
      <c r="H387" s="116" t="s">
        <v>485</v>
      </c>
      <c r="I387" s="95"/>
    </row>
    <row r="388" spans="1:9" ht="18" x14ac:dyDescent="0.4">
      <c r="A388" s="79">
        <v>387</v>
      </c>
      <c r="B388" s="79" t="str">
        <f t="shared" si="6"/>
        <v>387F</v>
      </c>
      <c r="C388" s="86">
        <v>7</v>
      </c>
      <c r="D388" s="95" t="s">
        <v>500</v>
      </c>
      <c r="E388" s="95" t="s">
        <v>501</v>
      </c>
      <c r="F388" s="90" t="s">
        <v>1</v>
      </c>
      <c r="G388" s="86" t="s">
        <v>10</v>
      </c>
      <c r="H388" s="114" t="s">
        <v>500</v>
      </c>
      <c r="I388" s="85"/>
    </row>
    <row r="389" spans="1:9" x14ac:dyDescent="0.35">
      <c r="A389" s="79">
        <v>388</v>
      </c>
      <c r="B389" s="79" t="str">
        <f t="shared" si="6"/>
        <v>388F</v>
      </c>
      <c r="C389" s="86">
        <v>8</v>
      </c>
      <c r="D389" s="84" t="s">
        <v>534</v>
      </c>
      <c r="E389" s="84" t="s">
        <v>533</v>
      </c>
      <c r="F389" s="90" t="s">
        <v>1</v>
      </c>
      <c r="G389" s="86" t="s">
        <v>10</v>
      </c>
      <c r="H389" s="114" t="s">
        <v>534</v>
      </c>
      <c r="I389" s="85"/>
    </row>
    <row r="390" spans="1:9" s="118" customFormat="1" ht="18" x14ac:dyDescent="0.4">
      <c r="A390" s="79">
        <v>389</v>
      </c>
      <c r="B390" s="79" t="str">
        <f t="shared" si="6"/>
        <v>389F</v>
      </c>
      <c r="C390" s="92">
        <v>9</v>
      </c>
      <c r="D390" s="95" t="s">
        <v>500</v>
      </c>
      <c r="E390" s="78" t="s">
        <v>559</v>
      </c>
      <c r="F390" s="90" t="s">
        <v>1</v>
      </c>
      <c r="G390" s="86" t="s">
        <v>10</v>
      </c>
      <c r="H390" s="118" t="s">
        <v>500</v>
      </c>
      <c r="I390" s="88"/>
    </row>
    <row r="391" spans="1:9" s="118" customFormat="1" ht="18" x14ac:dyDescent="0.4">
      <c r="A391" s="79">
        <v>390</v>
      </c>
      <c r="B391" s="79" t="str">
        <f t="shared" si="6"/>
        <v>390F</v>
      </c>
      <c r="C391" s="92">
        <v>10</v>
      </c>
      <c r="D391" s="95" t="s">
        <v>758</v>
      </c>
      <c r="E391" s="16" t="s">
        <v>597</v>
      </c>
      <c r="F391" s="90" t="s">
        <v>1</v>
      </c>
      <c r="G391" s="86" t="s">
        <v>10</v>
      </c>
      <c r="H391" s="118" t="s">
        <v>758</v>
      </c>
      <c r="I391" s="88"/>
    </row>
    <row r="392" spans="1:9" ht="18" x14ac:dyDescent="0.4">
      <c r="A392" s="79">
        <v>391</v>
      </c>
      <c r="B392" s="79" t="str">
        <f t="shared" si="6"/>
        <v>391F</v>
      </c>
      <c r="C392" s="86">
        <v>11</v>
      </c>
      <c r="D392" s="95" t="s">
        <v>757</v>
      </c>
      <c r="E392" s="16" t="s">
        <v>622</v>
      </c>
      <c r="F392" s="90" t="s">
        <v>1</v>
      </c>
      <c r="G392" s="86" t="s">
        <v>10</v>
      </c>
      <c r="H392" s="114" t="s">
        <v>757</v>
      </c>
      <c r="I392" s="85"/>
    </row>
    <row r="393" spans="1:9" s="118" customFormat="1" ht="18" x14ac:dyDescent="0.4">
      <c r="A393" s="79">
        <v>392</v>
      </c>
      <c r="B393" s="79" t="str">
        <f t="shared" si="6"/>
        <v>392W</v>
      </c>
      <c r="C393" s="92">
        <v>3</v>
      </c>
      <c r="D393" s="94" t="s">
        <v>432</v>
      </c>
      <c r="E393" s="78" t="s">
        <v>424</v>
      </c>
      <c r="F393" s="78" t="s">
        <v>423</v>
      </c>
      <c r="G393" s="92" t="s">
        <v>10</v>
      </c>
      <c r="H393" s="118" t="s">
        <v>432</v>
      </c>
      <c r="I393" s="88"/>
    </row>
    <row r="394" spans="1:9" x14ac:dyDescent="0.35">
      <c r="A394" s="79">
        <v>393</v>
      </c>
      <c r="B394" s="79" t="str">
        <f t="shared" si="6"/>
        <v>393W</v>
      </c>
      <c r="C394" s="86">
        <v>3</v>
      </c>
      <c r="D394" s="90" t="s">
        <v>433</v>
      </c>
      <c r="E394" s="16" t="s">
        <v>425</v>
      </c>
      <c r="F394" s="16" t="s">
        <v>423</v>
      </c>
      <c r="G394" s="86" t="s">
        <v>10</v>
      </c>
      <c r="H394" s="114" t="s">
        <v>433</v>
      </c>
      <c r="I394" s="85"/>
    </row>
    <row r="395" spans="1:9" x14ac:dyDescent="0.35">
      <c r="A395" s="79">
        <v>394</v>
      </c>
      <c r="B395" s="79" t="str">
        <f t="shared" si="6"/>
        <v>394W</v>
      </c>
      <c r="C395" s="86">
        <v>4</v>
      </c>
      <c r="D395" s="90" t="s">
        <v>434</v>
      </c>
      <c r="E395" s="16" t="s">
        <v>430</v>
      </c>
      <c r="F395" s="16" t="s">
        <v>423</v>
      </c>
      <c r="G395" s="86" t="s">
        <v>10</v>
      </c>
      <c r="H395" s="114" t="s">
        <v>434</v>
      </c>
      <c r="I395" s="85"/>
    </row>
    <row r="396" spans="1:9" x14ac:dyDescent="0.35">
      <c r="A396" s="79">
        <v>395</v>
      </c>
      <c r="B396" s="79" t="str">
        <f t="shared" si="6"/>
        <v>395W</v>
      </c>
      <c r="C396" s="86">
        <v>4</v>
      </c>
      <c r="D396" s="90" t="s">
        <v>435</v>
      </c>
      <c r="E396" s="16" t="s">
        <v>431</v>
      </c>
      <c r="F396" s="16" t="s">
        <v>423</v>
      </c>
      <c r="G396" s="86" t="s">
        <v>10</v>
      </c>
      <c r="H396" s="114" t="s">
        <v>435</v>
      </c>
      <c r="I396" s="85"/>
    </row>
    <row r="397" spans="1:9" x14ac:dyDescent="0.35">
      <c r="A397" s="79">
        <v>396</v>
      </c>
      <c r="B397" s="79" t="str">
        <f t="shared" si="6"/>
        <v>396W</v>
      </c>
      <c r="C397" s="86">
        <v>5</v>
      </c>
      <c r="D397" s="90" t="s">
        <v>458</v>
      </c>
      <c r="E397" s="16" t="s">
        <v>457</v>
      </c>
      <c r="F397" s="16" t="s">
        <v>423</v>
      </c>
      <c r="G397" s="86" t="s">
        <v>10</v>
      </c>
      <c r="H397" s="114" t="s">
        <v>458</v>
      </c>
      <c r="I397" s="49"/>
    </row>
    <row r="398" spans="1:9" x14ac:dyDescent="0.35">
      <c r="A398" s="79">
        <v>397</v>
      </c>
      <c r="B398" s="79" t="str">
        <f t="shared" si="6"/>
        <v>397W</v>
      </c>
      <c r="C398" s="86">
        <v>5</v>
      </c>
      <c r="D398" s="90" t="s">
        <v>460</v>
      </c>
      <c r="E398" s="16" t="s">
        <v>459</v>
      </c>
      <c r="F398" s="16" t="s">
        <v>423</v>
      </c>
      <c r="G398" s="86" t="s">
        <v>10</v>
      </c>
      <c r="H398" s="114" t="s">
        <v>460</v>
      </c>
      <c r="I398" s="49"/>
    </row>
    <row r="399" spans="1:9" x14ac:dyDescent="0.35">
      <c r="A399" s="79">
        <v>398</v>
      </c>
      <c r="B399" s="79" t="str">
        <f t="shared" si="6"/>
        <v>398W</v>
      </c>
      <c r="C399" s="86">
        <v>6</v>
      </c>
      <c r="D399" s="90" t="s">
        <v>488</v>
      </c>
      <c r="E399" s="16" t="s">
        <v>486</v>
      </c>
      <c r="F399" s="16" t="s">
        <v>423</v>
      </c>
      <c r="G399" s="86" t="s">
        <v>10</v>
      </c>
      <c r="H399" s="114" t="s">
        <v>488</v>
      </c>
      <c r="I399" s="49"/>
    </row>
    <row r="400" spans="1:9" x14ac:dyDescent="0.35">
      <c r="A400" s="79">
        <v>399</v>
      </c>
      <c r="B400" s="79" t="str">
        <f t="shared" si="6"/>
        <v>399W</v>
      </c>
      <c r="C400" s="86">
        <v>6</v>
      </c>
      <c r="D400" s="90" t="s">
        <v>489</v>
      </c>
      <c r="E400" s="16" t="s">
        <v>487</v>
      </c>
      <c r="F400" s="16" t="s">
        <v>423</v>
      </c>
      <c r="G400" s="86" t="s">
        <v>10</v>
      </c>
      <c r="H400" s="114" t="s">
        <v>489</v>
      </c>
      <c r="I400" s="49"/>
    </row>
    <row r="401" spans="1:9" x14ac:dyDescent="0.35">
      <c r="A401" s="79">
        <v>400</v>
      </c>
      <c r="B401" s="79" t="str">
        <f t="shared" si="6"/>
        <v>400W</v>
      </c>
      <c r="C401" s="86">
        <v>7</v>
      </c>
      <c r="D401" s="90" t="s">
        <v>491</v>
      </c>
      <c r="E401" s="16" t="s">
        <v>490</v>
      </c>
      <c r="F401" s="16" t="s">
        <v>423</v>
      </c>
      <c r="G401" s="86" t="s">
        <v>10</v>
      </c>
      <c r="H401" s="114" t="s">
        <v>491</v>
      </c>
      <c r="I401" s="49"/>
    </row>
    <row r="402" spans="1:9" x14ac:dyDescent="0.35">
      <c r="A402" s="79">
        <v>401</v>
      </c>
      <c r="B402" s="79" t="str">
        <f t="shared" si="6"/>
        <v>401W</v>
      </c>
      <c r="C402" s="86">
        <v>7</v>
      </c>
      <c r="D402" s="90" t="s">
        <v>503</v>
      </c>
      <c r="E402" s="16" t="s">
        <v>504</v>
      </c>
      <c r="F402" s="16" t="s">
        <v>502</v>
      </c>
      <c r="G402" s="86" t="s">
        <v>10</v>
      </c>
      <c r="H402" s="114" t="s">
        <v>503</v>
      </c>
      <c r="I402" s="49"/>
    </row>
    <row r="403" spans="1:9" x14ac:dyDescent="0.35">
      <c r="A403" s="79">
        <v>402</v>
      </c>
      <c r="B403" s="79" t="str">
        <f t="shared" si="6"/>
        <v>402W</v>
      </c>
      <c r="C403" s="86">
        <v>8</v>
      </c>
      <c r="D403" s="90" t="s">
        <v>503</v>
      </c>
      <c r="E403" s="16" t="s">
        <v>505</v>
      </c>
      <c r="F403" s="16" t="s">
        <v>502</v>
      </c>
      <c r="G403" s="86" t="s">
        <v>10</v>
      </c>
      <c r="H403" s="114" t="s">
        <v>503</v>
      </c>
      <c r="I403" s="85"/>
    </row>
    <row r="404" spans="1:9" s="118" customFormat="1" ht="18" x14ac:dyDescent="0.4">
      <c r="A404" s="79">
        <v>403</v>
      </c>
      <c r="B404" s="79" t="str">
        <f t="shared" si="6"/>
        <v>403W</v>
      </c>
      <c r="C404" s="92">
        <v>8</v>
      </c>
      <c r="D404" s="94" t="s">
        <v>527</v>
      </c>
      <c r="E404" s="94" t="s">
        <v>530</v>
      </c>
      <c r="F404" s="78" t="s">
        <v>423</v>
      </c>
      <c r="G404" s="86" t="s">
        <v>10</v>
      </c>
      <c r="H404" s="118" t="s">
        <v>527</v>
      </c>
      <c r="I404" s="88"/>
    </row>
    <row r="405" spans="1:9" x14ac:dyDescent="0.35">
      <c r="A405" s="79">
        <v>404</v>
      </c>
      <c r="B405" s="79" t="str">
        <f t="shared" si="6"/>
        <v>404W</v>
      </c>
      <c r="C405" s="86">
        <v>8</v>
      </c>
      <c r="D405" s="90" t="s">
        <v>528</v>
      </c>
      <c r="E405" s="90" t="s">
        <v>531</v>
      </c>
      <c r="F405" s="16" t="s">
        <v>423</v>
      </c>
      <c r="G405" s="86" t="s">
        <v>10</v>
      </c>
      <c r="H405" s="114" t="s">
        <v>528</v>
      </c>
      <c r="I405" s="85"/>
    </row>
    <row r="406" spans="1:9" x14ac:dyDescent="0.35">
      <c r="A406" s="79">
        <v>405</v>
      </c>
      <c r="B406" s="79" t="str">
        <f t="shared" si="6"/>
        <v>405W</v>
      </c>
      <c r="C406" s="86">
        <v>8</v>
      </c>
      <c r="D406" s="90" t="s">
        <v>529</v>
      </c>
      <c r="E406" s="90" t="s">
        <v>532</v>
      </c>
      <c r="F406" s="16" t="s">
        <v>423</v>
      </c>
      <c r="G406" s="86" t="s">
        <v>10</v>
      </c>
      <c r="H406" s="114" t="s">
        <v>529</v>
      </c>
      <c r="I406" s="85"/>
    </row>
    <row r="407" spans="1:9" x14ac:dyDescent="0.35">
      <c r="A407" s="79">
        <v>406</v>
      </c>
      <c r="B407" s="79" t="str">
        <f t="shared" si="6"/>
        <v>406W</v>
      </c>
      <c r="C407" s="86">
        <v>9</v>
      </c>
      <c r="D407" s="90" t="s">
        <v>557</v>
      </c>
      <c r="E407" s="90" t="s">
        <v>555</v>
      </c>
      <c r="F407" s="16" t="s">
        <v>423</v>
      </c>
      <c r="G407" s="86" t="s">
        <v>10</v>
      </c>
      <c r="H407" s="114" t="s">
        <v>557</v>
      </c>
      <c r="I407" s="85"/>
    </row>
    <row r="408" spans="1:9" x14ac:dyDescent="0.35">
      <c r="A408" s="79">
        <v>407</v>
      </c>
      <c r="B408" s="79" t="str">
        <f t="shared" si="6"/>
        <v>407W</v>
      </c>
      <c r="C408" s="86">
        <v>9</v>
      </c>
      <c r="D408" s="90" t="s">
        <v>558</v>
      </c>
      <c r="E408" s="90" t="s">
        <v>556</v>
      </c>
      <c r="F408" s="16" t="s">
        <v>423</v>
      </c>
      <c r="G408" s="86" t="s">
        <v>10</v>
      </c>
      <c r="H408" s="114" t="s">
        <v>558</v>
      </c>
      <c r="I408" s="85"/>
    </row>
    <row r="409" spans="1:9" x14ac:dyDescent="0.35">
      <c r="A409" s="79">
        <v>408</v>
      </c>
      <c r="B409" s="79" t="str">
        <f t="shared" si="6"/>
        <v>408W</v>
      </c>
      <c r="C409" s="86">
        <v>10</v>
      </c>
      <c r="D409" s="90" t="s">
        <v>592</v>
      </c>
      <c r="E409" s="90" t="s">
        <v>591</v>
      </c>
      <c r="F409" s="16" t="s">
        <v>423</v>
      </c>
      <c r="G409" s="86" t="s">
        <v>10</v>
      </c>
      <c r="H409" s="114" t="s">
        <v>592</v>
      </c>
      <c r="I409" s="85"/>
    </row>
    <row r="410" spans="1:9" x14ac:dyDescent="0.35">
      <c r="A410" s="79">
        <v>409</v>
      </c>
      <c r="B410" s="79" t="str">
        <f t="shared" si="6"/>
        <v>409W</v>
      </c>
      <c r="C410" s="86">
        <v>10</v>
      </c>
      <c r="D410" s="90" t="s">
        <v>594</v>
      </c>
      <c r="E410" s="90" t="s">
        <v>593</v>
      </c>
      <c r="F410" s="16" t="s">
        <v>423</v>
      </c>
      <c r="G410" s="86" t="s">
        <v>10</v>
      </c>
      <c r="H410" s="114" t="s">
        <v>594</v>
      </c>
      <c r="I410" s="85"/>
    </row>
    <row r="411" spans="1:9" x14ac:dyDescent="0.35">
      <c r="A411" s="79">
        <v>410</v>
      </c>
      <c r="B411" s="79" t="str">
        <f t="shared" si="6"/>
        <v>410W</v>
      </c>
      <c r="C411" s="86">
        <v>10</v>
      </c>
      <c r="D411" s="90" t="s">
        <v>596</v>
      </c>
      <c r="E411" s="90" t="s">
        <v>595</v>
      </c>
      <c r="F411" s="16" t="s">
        <v>423</v>
      </c>
      <c r="G411" s="86" t="s">
        <v>10</v>
      </c>
      <c r="H411" s="114" t="s">
        <v>596</v>
      </c>
      <c r="I411" s="85"/>
    </row>
    <row r="412" spans="1:9" x14ac:dyDescent="0.35">
      <c r="A412" s="79">
        <v>411</v>
      </c>
      <c r="B412" s="79" t="str">
        <f t="shared" si="6"/>
        <v>411W</v>
      </c>
      <c r="C412" s="86">
        <v>11</v>
      </c>
      <c r="D412" s="90" t="s">
        <v>620</v>
      </c>
      <c r="E412" s="90" t="s">
        <v>619</v>
      </c>
      <c r="F412" s="16" t="s">
        <v>423</v>
      </c>
      <c r="G412" s="86" t="s">
        <v>10</v>
      </c>
      <c r="H412" s="114" t="s">
        <v>620</v>
      </c>
      <c r="I412" s="85"/>
    </row>
    <row r="413" spans="1:9" x14ac:dyDescent="0.35">
      <c r="A413" s="79">
        <v>412</v>
      </c>
      <c r="B413" s="79" t="str">
        <f t="shared" si="6"/>
        <v>412W</v>
      </c>
      <c r="C413" s="86">
        <v>12</v>
      </c>
      <c r="D413" s="90" t="s">
        <v>621</v>
      </c>
      <c r="E413" s="90" t="s">
        <v>647</v>
      </c>
      <c r="F413" s="16" t="s">
        <v>423</v>
      </c>
      <c r="G413" s="86" t="s">
        <v>10</v>
      </c>
      <c r="H413" s="114" t="s">
        <v>621</v>
      </c>
      <c r="I413" s="85"/>
    </row>
    <row r="414" spans="1:9" x14ac:dyDescent="0.35">
      <c r="A414" s="79">
        <v>413</v>
      </c>
      <c r="B414" s="79" t="str">
        <f t="shared" si="6"/>
        <v>413W</v>
      </c>
      <c r="C414" s="86">
        <v>12</v>
      </c>
      <c r="D414" s="90" t="s">
        <v>649</v>
      </c>
      <c r="E414" s="90" t="s">
        <v>648</v>
      </c>
      <c r="F414" s="16" t="s">
        <v>423</v>
      </c>
      <c r="G414" s="86" t="s">
        <v>10</v>
      </c>
      <c r="H414" s="114" t="s">
        <v>649</v>
      </c>
      <c r="I414" s="85"/>
    </row>
    <row r="415" spans="1:9" x14ac:dyDescent="0.35">
      <c r="A415" s="79">
        <v>414</v>
      </c>
      <c r="B415" s="79" t="str">
        <f t="shared" si="6"/>
        <v>414W</v>
      </c>
      <c r="C415" s="86">
        <v>13</v>
      </c>
      <c r="D415" s="90" t="s">
        <v>667</v>
      </c>
      <c r="E415" s="90" t="s">
        <v>664</v>
      </c>
      <c r="F415" s="16" t="s">
        <v>423</v>
      </c>
      <c r="G415" s="86" t="s">
        <v>10</v>
      </c>
      <c r="H415" s="114" t="s">
        <v>667</v>
      </c>
      <c r="I415" s="85"/>
    </row>
    <row r="416" spans="1:9" x14ac:dyDescent="0.35">
      <c r="A416" s="79">
        <v>415</v>
      </c>
      <c r="B416" s="79" t="str">
        <f t="shared" si="6"/>
        <v>415W</v>
      </c>
      <c r="C416" s="86">
        <v>13</v>
      </c>
      <c r="D416" s="90" t="s">
        <v>668</v>
      </c>
      <c r="E416" s="90" t="s">
        <v>665</v>
      </c>
      <c r="F416" s="16" t="s">
        <v>423</v>
      </c>
      <c r="G416" s="86" t="s">
        <v>10</v>
      </c>
      <c r="H416" s="114" t="s">
        <v>668</v>
      </c>
      <c r="I416" s="85"/>
    </row>
    <row r="417" spans="1:9" x14ac:dyDescent="0.35">
      <c r="A417" s="79">
        <v>416</v>
      </c>
      <c r="B417" s="79" t="str">
        <f t="shared" si="6"/>
        <v>416W</v>
      </c>
      <c r="C417" s="86">
        <v>13</v>
      </c>
      <c r="D417" s="90" t="s">
        <v>669</v>
      </c>
      <c r="E417" s="90" t="s">
        <v>666</v>
      </c>
      <c r="F417" s="16" t="s">
        <v>423</v>
      </c>
      <c r="G417" s="86" t="s">
        <v>10</v>
      </c>
      <c r="H417" s="114" t="s">
        <v>669</v>
      </c>
      <c r="I417" s="85"/>
    </row>
    <row r="418" spans="1:9" s="118" customFormat="1" ht="18" x14ac:dyDescent="0.4">
      <c r="A418" s="79">
        <v>417</v>
      </c>
      <c r="B418" s="79" t="str">
        <f t="shared" si="6"/>
        <v>417W</v>
      </c>
      <c r="C418" s="92">
        <v>14</v>
      </c>
      <c r="D418" s="105" t="s">
        <v>680</v>
      </c>
      <c r="E418" s="78" t="s">
        <v>681</v>
      </c>
      <c r="F418" s="108" t="s">
        <v>502</v>
      </c>
      <c r="G418" s="92" t="s">
        <v>10</v>
      </c>
      <c r="H418" s="88" t="s">
        <v>680</v>
      </c>
    </row>
    <row r="419" spans="1:9" x14ac:dyDescent="0.35">
      <c r="A419" s="79">
        <v>418</v>
      </c>
      <c r="B419" s="79" t="str">
        <f t="shared" si="6"/>
        <v>418W</v>
      </c>
      <c r="C419" s="86">
        <v>15</v>
      </c>
      <c r="D419" s="106" t="s">
        <v>680</v>
      </c>
      <c r="E419" s="16" t="s">
        <v>682</v>
      </c>
      <c r="F419" s="109" t="s">
        <v>502</v>
      </c>
      <c r="G419" s="86" t="s">
        <v>10</v>
      </c>
      <c r="H419" s="85" t="s">
        <v>680</v>
      </c>
      <c r="I419" s="114"/>
    </row>
    <row r="420" spans="1:9" x14ac:dyDescent="0.35">
      <c r="A420" s="79">
        <v>419</v>
      </c>
      <c r="B420" s="79" t="str">
        <f t="shared" si="6"/>
        <v>419W</v>
      </c>
      <c r="C420" s="86">
        <v>16</v>
      </c>
      <c r="D420" s="16" t="s">
        <v>751</v>
      </c>
      <c r="E420" s="16" t="s">
        <v>751</v>
      </c>
      <c r="F420" s="16" t="s">
        <v>423</v>
      </c>
      <c r="G420" s="86" t="s">
        <v>10</v>
      </c>
      <c r="H420" s="114" t="s">
        <v>751</v>
      </c>
      <c r="I420" s="114"/>
    </row>
    <row r="421" spans="1:9" x14ac:dyDescent="0.35">
      <c r="A421" s="79">
        <v>420</v>
      </c>
      <c r="B421" s="79" t="str">
        <f t="shared" si="6"/>
        <v>420W</v>
      </c>
      <c r="C421" s="86">
        <v>16</v>
      </c>
      <c r="D421" s="16" t="s">
        <v>752</v>
      </c>
      <c r="E421" s="16" t="s">
        <v>752</v>
      </c>
      <c r="F421" s="16" t="s">
        <v>423</v>
      </c>
      <c r="G421" s="86" t="s">
        <v>10</v>
      </c>
      <c r="H421" s="90" t="s">
        <v>752</v>
      </c>
      <c r="I421" s="114"/>
    </row>
    <row r="422" spans="1:9" x14ac:dyDescent="0.35">
      <c r="A422" s="79">
        <v>421</v>
      </c>
      <c r="B422" s="79" t="str">
        <f t="shared" si="6"/>
        <v>421W</v>
      </c>
      <c r="C422" s="86">
        <v>16</v>
      </c>
      <c r="D422" s="16" t="s">
        <v>753</v>
      </c>
      <c r="E422" s="16" t="s">
        <v>753</v>
      </c>
      <c r="F422" s="16" t="s">
        <v>423</v>
      </c>
      <c r="G422" s="86" t="s">
        <v>10</v>
      </c>
      <c r="H422" s="90" t="s">
        <v>753</v>
      </c>
      <c r="I422" s="114"/>
    </row>
    <row r="423" spans="1:9" x14ac:dyDescent="0.35">
      <c r="A423" s="79">
        <v>422</v>
      </c>
      <c r="B423" s="79" t="str">
        <f t="shared" si="6"/>
        <v>422W</v>
      </c>
      <c r="C423" s="86">
        <v>16</v>
      </c>
      <c r="D423" s="16" t="s">
        <v>754</v>
      </c>
      <c r="E423" s="16" t="s">
        <v>754</v>
      </c>
      <c r="F423" s="16" t="s">
        <v>423</v>
      </c>
      <c r="G423" s="86" t="s">
        <v>10</v>
      </c>
      <c r="H423" s="90" t="s">
        <v>754</v>
      </c>
      <c r="I423" s="114"/>
    </row>
    <row r="424" spans="1:9" x14ac:dyDescent="0.35">
      <c r="A424" s="79">
        <v>423</v>
      </c>
      <c r="B424" s="79" t="str">
        <f t="shared" si="6"/>
        <v>423W</v>
      </c>
      <c r="C424" s="86">
        <v>16</v>
      </c>
      <c r="D424" s="16" t="s">
        <v>755</v>
      </c>
      <c r="E424" s="16" t="s">
        <v>755</v>
      </c>
      <c r="F424" s="16" t="s">
        <v>423</v>
      </c>
      <c r="G424" s="86" t="s">
        <v>10</v>
      </c>
      <c r="H424" s="90" t="s">
        <v>755</v>
      </c>
      <c r="I424" s="114"/>
    </row>
    <row r="425" spans="1:9" x14ac:dyDescent="0.35">
      <c r="A425" s="79">
        <v>424</v>
      </c>
      <c r="B425" s="79" t="str">
        <f t="shared" si="6"/>
        <v>424W</v>
      </c>
      <c r="C425" s="86">
        <v>16</v>
      </c>
      <c r="D425" s="16" t="s">
        <v>756</v>
      </c>
      <c r="E425" s="16" t="s">
        <v>756</v>
      </c>
      <c r="F425" s="16" t="s">
        <v>423</v>
      </c>
      <c r="G425" s="86" t="s">
        <v>10</v>
      </c>
      <c r="H425" s="90" t="s">
        <v>756</v>
      </c>
      <c r="I425" s="114"/>
    </row>
    <row r="426" spans="1:9" x14ac:dyDescent="0.35">
      <c r="C426" s="86"/>
      <c r="F426" s="16"/>
      <c r="H426" s="16"/>
      <c r="I426" s="114"/>
    </row>
    <row r="427" spans="1:9" x14ac:dyDescent="0.35">
      <c r="C427" s="86"/>
      <c r="F427" s="107"/>
      <c r="I427" s="114"/>
    </row>
    <row r="428" spans="1:9" x14ac:dyDescent="0.35">
      <c r="C428" s="86"/>
      <c r="H428" s="85"/>
      <c r="I428" s="114"/>
    </row>
    <row r="429" spans="1:9" x14ac:dyDescent="0.35">
      <c r="C429" s="86"/>
      <c r="I429" s="85"/>
    </row>
    <row r="430" spans="1:9" x14ac:dyDescent="0.35">
      <c r="C430" s="86"/>
      <c r="I430" s="85"/>
    </row>
    <row r="431" spans="1:9" x14ac:dyDescent="0.35">
      <c r="C431" s="86"/>
      <c r="I431" s="85"/>
    </row>
    <row r="432" spans="1:9" x14ac:dyDescent="0.35">
      <c r="C432" s="86"/>
      <c r="I432" s="85"/>
    </row>
    <row r="433" spans="3:9" x14ac:dyDescent="0.35">
      <c r="C433" s="86"/>
      <c r="I433" s="85"/>
    </row>
    <row r="434" spans="3:9" x14ac:dyDescent="0.35">
      <c r="C434" s="86"/>
      <c r="I434" s="85"/>
    </row>
    <row r="435" spans="3:9" x14ac:dyDescent="0.35">
      <c r="C435" s="86"/>
      <c r="I435" s="85"/>
    </row>
    <row r="436" spans="3:9" x14ac:dyDescent="0.35">
      <c r="C436" s="86"/>
      <c r="I436" s="85"/>
    </row>
    <row r="437" spans="3:9" x14ac:dyDescent="0.35">
      <c r="C437" s="86"/>
      <c r="I437" s="85"/>
    </row>
    <row r="438" spans="3:9" x14ac:dyDescent="0.35">
      <c r="C438" s="86"/>
      <c r="I438" s="85"/>
    </row>
    <row r="439" spans="3:9" x14ac:dyDescent="0.35">
      <c r="C439" s="86"/>
      <c r="I439" s="85"/>
    </row>
    <row r="440" spans="3:9" x14ac:dyDescent="0.35">
      <c r="C440" s="86"/>
      <c r="I440" s="85"/>
    </row>
    <row r="441" spans="3:9" x14ac:dyDescent="0.35">
      <c r="C441" s="86"/>
      <c r="I441" s="85"/>
    </row>
    <row r="442" spans="3:9" x14ac:dyDescent="0.35">
      <c r="C442" s="86"/>
      <c r="I442" s="85"/>
    </row>
    <row r="443" spans="3:9" x14ac:dyDescent="0.35">
      <c r="C443" s="86"/>
      <c r="I443" s="85"/>
    </row>
    <row r="444" spans="3:9" x14ac:dyDescent="0.35">
      <c r="C444" s="86"/>
      <c r="I444" s="85"/>
    </row>
    <row r="445" spans="3:9" x14ac:dyDescent="0.35">
      <c r="C445" s="86"/>
      <c r="I445" s="85"/>
    </row>
    <row r="446" spans="3:9" x14ac:dyDescent="0.35">
      <c r="C446" s="86"/>
      <c r="I446" s="85"/>
    </row>
    <row r="447" spans="3:9" x14ac:dyDescent="0.35">
      <c r="C447" s="86"/>
      <c r="I447" s="85"/>
    </row>
    <row r="448" spans="3:9" x14ac:dyDescent="0.35">
      <c r="C448" s="86"/>
      <c r="I448" s="85"/>
    </row>
    <row r="449" spans="3:9" x14ac:dyDescent="0.35">
      <c r="C449" s="86"/>
      <c r="I449" s="85"/>
    </row>
    <row r="450" spans="3:9" x14ac:dyDescent="0.35">
      <c r="C450" s="86"/>
      <c r="I450" s="85"/>
    </row>
    <row r="451" spans="3:9" x14ac:dyDescent="0.35">
      <c r="C451" s="86"/>
      <c r="I451" s="85"/>
    </row>
    <row r="452" spans="3:9" x14ac:dyDescent="0.35">
      <c r="C452" s="86"/>
      <c r="I452" s="85"/>
    </row>
    <row r="453" spans="3:9" x14ac:dyDescent="0.35">
      <c r="C453" s="86"/>
      <c r="I453" s="85"/>
    </row>
    <row r="454" spans="3:9" x14ac:dyDescent="0.35">
      <c r="C454" s="86"/>
      <c r="I454" s="85"/>
    </row>
    <row r="455" spans="3:9" x14ac:dyDescent="0.35">
      <c r="C455" s="86"/>
      <c r="I455" s="85"/>
    </row>
    <row r="456" spans="3:9" x14ac:dyDescent="0.35">
      <c r="C456" s="86"/>
      <c r="I456" s="85"/>
    </row>
    <row r="457" spans="3:9" x14ac:dyDescent="0.35">
      <c r="C457" s="86"/>
      <c r="I457" s="85"/>
    </row>
    <row r="458" spans="3:9" x14ac:dyDescent="0.35">
      <c r="C458" s="86"/>
      <c r="I458" s="85"/>
    </row>
    <row r="459" spans="3:9" x14ac:dyDescent="0.35">
      <c r="C459" s="86"/>
      <c r="I459" s="85"/>
    </row>
    <row r="460" spans="3:9" x14ac:dyDescent="0.35">
      <c r="C460" s="86"/>
      <c r="I460" s="85"/>
    </row>
    <row r="461" spans="3:9" x14ac:dyDescent="0.35">
      <c r="C461" s="86"/>
      <c r="I461" s="85"/>
    </row>
    <row r="462" spans="3:9" x14ac:dyDescent="0.35">
      <c r="C462" s="86"/>
      <c r="I462" s="85"/>
    </row>
    <row r="463" spans="3:9" x14ac:dyDescent="0.35">
      <c r="I463" s="85"/>
    </row>
    <row r="464" spans="3:9" x14ac:dyDescent="0.35">
      <c r="I464" s="85"/>
    </row>
    <row r="465" spans="9:9" x14ac:dyDescent="0.35">
      <c r="I465" s="85"/>
    </row>
    <row r="466" spans="9:9" x14ac:dyDescent="0.35">
      <c r="I466" s="85"/>
    </row>
    <row r="467" spans="9:9" x14ac:dyDescent="0.35">
      <c r="I467" s="85"/>
    </row>
    <row r="468" spans="9:9" x14ac:dyDescent="0.35">
      <c r="I468" s="85"/>
    </row>
    <row r="469" spans="9:9" x14ac:dyDescent="0.35">
      <c r="I469" s="85"/>
    </row>
    <row r="470" spans="9:9" x14ac:dyDescent="0.35">
      <c r="I470" s="85"/>
    </row>
    <row r="471" spans="9:9" x14ac:dyDescent="0.35">
      <c r="I471" s="85"/>
    </row>
    <row r="472" spans="9:9" x14ac:dyDescent="0.35">
      <c r="I472" s="85"/>
    </row>
    <row r="473" spans="9:9" x14ac:dyDescent="0.35">
      <c r="I473" s="85"/>
    </row>
    <row r="474" spans="9:9" x14ac:dyDescent="0.35">
      <c r="I474" s="85"/>
    </row>
    <row r="475" spans="9:9" x14ac:dyDescent="0.35">
      <c r="I475" s="85"/>
    </row>
    <row r="476" spans="9:9" x14ac:dyDescent="0.35">
      <c r="I476" s="85"/>
    </row>
    <row r="477" spans="9:9" x14ac:dyDescent="0.35">
      <c r="I477" s="85"/>
    </row>
    <row r="478" spans="9:9" x14ac:dyDescent="0.35">
      <c r="I478" s="85"/>
    </row>
    <row r="479" spans="9:9" x14ac:dyDescent="0.35">
      <c r="I479" s="85"/>
    </row>
    <row r="480" spans="9:9" x14ac:dyDescent="0.35">
      <c r="I480" s="85"/>
    </row>
    <row r="481" spans="9:9" x14ac:dyDescent="0.35">
      <c r="I481" s="85"/>
    </row>
    <row r="482" spans="9:9" x14ac:dyDescent="0.35">
      <c r="I482" s="85"/>
    </row>
    <row r="483" spans="9:9" x14ac:dyDescent="0.35">
      <c r="I483" s="85"/>
    </row>
    <row r="484" spans="9:9" x14ac:dyDescent="0.35">
      <c r="I484" s="85"/>
    </row>
    <row r="485" spans="9:9" x14ac:dyDescent="0.35">
      <c r="I485" s="85"/>
    </row>
    <row r="486" spans="9:9" x14ac:dyDescent="0.35">
      <c r="I486" s="85"/>
    </row>
    <row r="487" spans="9:9" x14ac:dyDescent="0.35">
      <c r="I487" s="85"/>
    </row>
    <row r="488" spans="9:9" x14ac:dyDescent="0.35">
      <c r="I488" s="85"/>
    </row>
    <row r="489" spans="9:9" x14ac:dyDescent="0.35">
      <c r="I489" s="85"/>
    </row>
    <row r="490" spans="9:9" x14ac:dyDescent="0.35">
      <c r="I490" s="85"/>
    </row>
    <row r="491" spans="9:9" x14ac:dyDescent="0.35">
      <c r="I491" s="85"/>
    </row>
    <row r="492" spans="9:9" x14ac:dyDescent="0.35">
      <c r="I492" s="85"/>
    </row>
    <row r="493" spans="9:9" x14ac:dyDescent="0.35">
      <c r="I493" s="85"/>
    </row>
    <row r="494" spans="9:9" x14ac:dyDescent="0.35">
      <c r="I494" s="85"/>
    </row>
    <row r="495" spans="9:9" x14ac:dyDescent="0.35">
      <c r="I495" s="85"/>
    </row>
    <row r="496" spans="9:9" x14ac:dyDescent="0.35">
      <c r="I496" s="85"/>
    </row>
    <row r="497" spans="9:9" x14ac:dyDescent="0.35">
      <c r="I497" s="85"/>
    </row>
    <row r="498" spans="9:9" x14ac:dyDescent="0.35">
      <c r="I498" s="85"/>
    </row>
    <row r="499" spans="9:9" x14ac:dyDescent="0.35">
      <c r="I499" s="85"/>
    </row>
    <row r="500" spans="9:9" x14ac:dyDescent="0.35">
      <c r="I500" s="85"/>
    </row>
    <row r="501" spans="9:9" x14ac:dyDescent="0.35">
      <c r="I501" s="85"/>
    </row>
    <row r="502" spans="9:9" x14ac:dyDescent="0.35">
      <c r="I502" s="85"/>
    </row>
    <row r="503" spans="9:9" x14ac:dyDescent="0.35">
      <c r="I503" s="85"/>
    </row>
    <row r="504" spans="9:9" x14ac:dyDescent="0.35">
      <c r="I504" s="85"/>
    </row>
    <row r="505" spans="9:9" x14ac:dyDescent="0.35">
      <c r="I505" s="85"/>
    </row>
    <row r="506" spans="9:9" x14ac:dyDescent="0.35">
      <c r="I506" s="85"/>
    </row>
    <row r="507" spans="9:9" x14ac:dyDescent="0.35">
      <c r="I507" s="85"/>
    </row>
    <row r="508" spans="9:9" x14ac:dyDescent="0.35">
      <c r="I508" s="85"/>
    </row>
    <row r="509" spans="9:9" x14ac:dyDescent="0.35">
      <c r="I509" s="85"/>
    </row>
    <row r="510" spans="9:9" x14ac:dyDescent="0.35">
      <c r="I510" s="85"/>
    </row>
    <row r="511" spans="9:9" x14ac:dyDescent="0.35">
      <c r="I511" s="85"/>
    </row>
    <row r="512" spans="9:9" x14ac:dyDescent="0.35">
      <c r="I512" s="85"/>
    </row>
    <row r="513" spans="9:9" x14ac:dyDescent="0.35">
      <c r="I513" s="85"/>
    </row>
    <row r="514" spans="9:9" x14ac:dyDescent="0.35">
      <c r="I514" s="85"/>
    </row>
    <row r="515" spans="9:9" x14ac:dyDescent="0.35">
      <c r="I515" s="85"/>
    </row>
    <row r="516" spans="9:9" x14ac:dyDescent="0.35">
      <c r="I516" s="85"/>
    </row>
    <row r="517" spans="9:9" x14ac:dyDescent="0.35">
      <c r="I517" s="85"/>
    </row>
    <row r="518" spans="9:9" x14ac:dyDescent="0.35">
      <c r="I518" s="85"/>
    </row>
    <row r="519" spans="9:9" x14ac:dyDescent="0.35">
      <c r="I519" s="85"/>
    </row>
    <row r="520" spans="9:9" x14ac:dyDescent="0.35">
      <c r="I520" s="85"/>
    </row>
    <row r="521" spans="9:9" x14ac:dyDescent="0.35">
      <c r="I521" s="85"/>
    </row>
    <row r="522" spans="9:9" x14ac:dyDescent="0.35">
      <c r="I522" s="85"/>
    </row>
    <row r="523" spans="9:9" x14ac:dyDescent="0.35">
      <c r="I523" s="85"/>
    </row>
    <row r="524" spans="9:9" x14ac:dyDescent="0.35">
      <c r="I524" s="85"/>
    </row>
    <row r="525" spans="9:9" x14ac:dyDescent="0.35">
      <c r="I525" s="85"/>
    </row>
    <row r="526" spans="9:9" x14ac:dyDescent="0.35">
      <c r="I526" s="85"/>
    </row>
    <row r="527" spans="9:9" x14ac:dyDescent="0.35">
      <c r="I527" s="85"/>
    </row>
    <row r="528" spans="9:9" x14ac:dyDescent="0.35">
      <c r="I528" s="85"/>
    </row>
    <row r="529" spans="9:9" x14ac:dyDescent="0.35">
      <c r="I529" s="85"/>
    </row>
    <row r="530" spans="9:9" x14ac:dyDescent="0.35">
      <c r="I530" s="85"/>
    </row>
    <row r="531" spans="9:9" x14ac:dyDescent="0.35">
      <c r="I531" s="85"/>
    </row>
    <row r="532" spans="9:9" x14ac:dyDescent="0.35">
      <c r="I532" s="85"/>
    </row>
    <row r="533" spans="9:9" x14ac:dyDescent="0.35">
      <c r="I533" s="85"/>
    </row>
    <row r="534" spans="9:9" x14ac:dyDescent="0.35">
      <c r="I534" s="85"/>
    </row>
    <row r="535" spans="9:9" x14ac:dyDescent="0.35">
      <c r="I535" s="85"/>
    </row>
    <row r="536" spans="9:9" x14ac:dyDescent="0.35">
      <c r="I536" s="85"/>
    </row>
    <row r="537" spans="9:9" x14ac:dyDescent="0.35">
      <c r="I537" s="85"/>
    </row>
    <row r="538" spans="9:9" x14ac:dyDescent="0.35">
      <c r="I538" s="85"/>
    </row>
    <row r="539" spans="9:9" x14ac:dyDescent="0.35">
      <c r="I539" s="85"/>
    </row>
    <row r="540" spans="9:9" x14ac:dyDescent="0.35">
      <c r="I540" s="85"/>
    </row>
    <row r="541" spans="9:9" x14ac:dyDescent="0.35">
      <c r="I541" s="85"/>
    </row>
    <row r="542" spans="9:9" x14ac:dyDescent="0.35">
      <c r="I542" s="85"/>
    </row>
    <row r="543" spans="9:9" x14ac:dyDescent="0.35">
      <c r="I543" s="85"/>
    </row>
  </sheetData>
  <sortState xmlns:xlrd2="http://schemas.microsoft.com/office/spreadsheetml/2017/richdata2" ref="A2:AH552">
    <sortCondition ref="B2:B552"/>
  </sortState>
  <phoneticPr fontId="8" type="noConversion"/>
  <dataValidations count="1">
    <dataValidation type="list" allowBlank="1" showInputMessage="1" showErrorMessage="1" sqref="G168:H168 H231:H245 G170:H170 G169 G2:G167 G171:G425" xr:uid="{15CEEBC4-1549-4A79-85FC-4F03BEAF327A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BIO</vt:lpstr>
      <vt:lpstr>Rollup</vt:lpstr>
      <vt:lpstr>Testing Chart</vt:lpstr>
      <vt:lpstr>cheatSheat</vt:lpstr>
      <vt:lpstr>Master</vt:lpstr>
      <vt:lpstr>Target</vt:lpstr>
    </vt:vector>
  </TitlesOfParts>
  <Company>Army Golden Master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Barkle, John E. SFC</dc:creator>
  <cp:lastModifiedBy>john Barkle IV</cp:lastModifiedBy>
  <dcterms:created xsi:type="dcterms:W3CDTF">2022-06-24T17:17:25Z</dcterms:created>
  <dcterms:modified xsi:type="dcterms:W3CDTF">2026-04-07T20:50:38Z</dcterms:modified>
</cp:coreProperties>
</file>